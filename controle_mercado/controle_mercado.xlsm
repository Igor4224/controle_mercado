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7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8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tables/table9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aio\Desktop\projects\excel_project\"/>
    </mc:Choice>
  </mc:AlternateContent>
  <xr:revisionPtr revIDLastSave="0" documentId="13_ncr:1_{D6A6D275-9A1E-441A-BEE0-016335601424}" xr6:coauthVersionLast="47" xr6:coauthVersionMax="47" xr10:uidLastSave="{00000000-0000-0000-0000-000000000000}"/>
  <bookViews>
    <workbookView xWindow="-108" yWindow="-108" windowWidth="23256" windowHeight="13176" firstSheet="4" activeTab="4" xr2:uid="{00000000-000D-0000-FFFF-FFFF00000000}"/>
  </bookViews>
  <sheets>
    <sheet name="Menu" sheetId="1" r:id="rId1"/>
    <sheet name="Despesas" sheetId="2" r:id="rId2"/>
    <sheet name="Controle Mercadorias" sheetId="6" r:id="rId3"/>
    <sheet name="Investimentos" sheetId="7" r:id="rId4"/>
    <sheet name="Controle de Estoque" sheetId="8" r:id="rId5"/>
    <sheet name="Resultados" sheetId="4" r:id="rId6"/>
    <sheet name="Vendas" sheetId="3" r:id="rId7"/>
    <sheet name="Semana 1" sheetId="9" r:id="rId8"/>
    <sheet name="Análise Semana 1" sheetId="14" r:id="rId9"/>
    <sheet name="Semana 2" sheetId="10" r:id="rId10"/>
    <sheet name="Análise Semana 2" sheetId="15" r:id="rId11"/>
    <sheet name="Semana 3" sheetId="11" r:id="rId12"/>
    <sheet name="Análise Semana 3" sheetId="16" r:id="rId13"/>
    <sheet name="Semana 4" sheetId="12" r:id="rId14"/>
    <sheet name="Análise Semana 4" sheetId="17" r:id="rId15"/>
    <sheet name="Semana 5" sheetId="13" r:id="rId16"/>
    <sheet name="Análise Semana 5" sheetId="18" r:id="rId17"/>
    <sheet name="Cálculos" sheetId="5" r:id="rId18"/>
  </sheets>
  <definedNames>
    <definedName name="_xlnm._FilterDatabase" localSheetId="17" hidden="1">Cálculos!$J$4:$M$4</definedName>
    <definedName name="_xlnm.Print_Area" localSheetId="5">Resultados!$C$4:$E$27</definedName>
  </definedNames>
  <calcPr calcId="191029"/>
  <pivotCaches>
    <pivotCache cacheId="0" r:id="rId19"/>
    <pivotCache cacheId="1" r:id="rId20"/>
    <pivotCache cacheId="2" r:id="rId21"/>
    <pivotCache cacheId="3" r:id="rId22"/>
    <pivotCache cacheId="4" r:id="rId2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8" l="1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C6" i="13"/>
  <c r="E6" i="13"/>
  <c r="G6" i="13"/>
  <c r="H6" i="13"/>
  <c r="K6" i="13"/>
  <c r="L6" i="13" s="1"/>
  <c r="C7" i="13"/>
  <c r="C8" i="13"/>
  <c r="C9" i="13"/>
  <c r="C10" i="13"/>
  <c r="C11" i="13"/>
  <c r="C12" i="13"/>
  <c r="C13" i="13"/>
  <c r="C14" i="13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G6" i="6"/>
  <c r="I6" i="6" s="1"/>
  <c r="G7" i="6"/>
  <c r="G8" i="6"/>
  <c r="I8" i="6" s="1"/>
  <c r="G9" i="6"/>
  <c r="I9" i="6" s="1"/>
  <c r="G10" i="6"/>
  <c r="I10" i="6" s="1"/>
  <c r="G11" i="6"/>
  <c r="I11" i="6" s="1"/>
  <c r="G12" i="6"/>
  <c r="I12" i="6" s="1"/>
  <c r="G13" i="6"/>
  <c r="I13" i="6" s="1"/>
  <c r="G14" i="6"/>
  <c r="I14" i="6" s="1"/>
  <c r="G15" i="6"/>
  <c r="I15" i="6" s="1"/>
  <c r="G16" i="6"/>
  <c r="I16" i="6" s="1"/>
  <c r="G17" i="6"/>
  <c r="I17" i="6" s="1"/>
  <c r="G18" i="6"/>
  <c r="I18" i="6" s="1"/>
  <c r="G19" i="6"/>
  <c r="I19" i="6" s="1"/>
  <c r="G20" i="6"/>
  <c r="I20" i="6" s="1"/>
  <c r="G21" i="6"/>
  <c r="I21" i="6" s="1"/>
  <c r="G22" i="6"/>
  <c r="I22" i="6" s="1"/>
  <c r="G23" i="6"/>
  <c r="I23" i="6" s="1"/>
  <c r="G24" i="6"/>
  <c r="I24" i="6" s="1"/>
  <c r="G25" i="6"/>
  <c r="I25" i="6" s="1"/>
  <c r="G26" i="6"/>
  <c r="I26" i="6" s="1"/>
  <c r="G27" i="6"/>
  <c r="I27" i="6" s="1"/>
  <c r="D52" i="3"/>
  <c r="E24" i="4"/>
  <c r="E18" i="4"/>
  <c r="E14" i="4"/>
  <c r="M19" i="12"/>
  <c r="M19" i="11"/>
  <c r="M19" i="10"/>
  <c r="C17" i="3"/>
  <c r="M6" i="9"/>
  <c r="M7" i="9"/>
  <c r="M11" i="9"/>
  <c r="M13" i="9"/>
  <c r="M14" i="9"/>
  <c r="M15" i="9"/>
  <c r="M19" i="9"/>
  <c r="M20" i="9"/>
  <c r="M23" i="9"/>
  <c r="M27" i="9"/>
  <c r="M28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G14" i="9"/>
  <c r="H14" i="9" s="1"/>
  <c r="G15" i="9"/>
  <c r="H15" i="9" s="1"/>
  <c r="G16" i="9"/>
  <c r="H16" i="9" s="1"/>
  <c r="G17" i="9"/>
  <c r="H17" i="9" s="1"/>
  <c r="G18" i="9"/>
  <c r="H18" i="9" s="1"/>
  <c r="G19" i="9"/>
  <c r="H19" i="9" s="1"/>
  <c r="G20" i="9"/>
  <c r="H20" i="9" s="1"/>
  <c r="G21" i="9"/>
  <c r="H21" i="9" s="1"/>
  <c r="G22" i="9"/>
  <c r="H22" i="9" s="1"/>
  <c r="G23" i="9"/>
  <c r="H23" i="9" s="1"/>
  <c r="G24" i="9"/>
  <c r="H24" i="9" s="1"/>
  <c r="G25" i="9"/>
  <c r="H25" i="9" s="1"/>
  <c r="G26" i="9"/>
  <c r="H26" i="9" s="1"/>
  <c r="G27" i="9"/>
  <c r="H27" i="9" s="1"/>
  <c r="G28" i="9"/>
  <c r="H28" i="9" s="1"/>
  <c r="G29" i="9"/>
  <c r="H29" i="9" s="1"/>
  <c r="K14" i="13"/>
  <c r="G14" i="13"/>
  <c r="H14" i="13" s="1"/>
  <c r="E14" i="13"/>
  <c r="K13" i="13"/>
  <c r="G13" i="13"/>
  <c r="H13" i="13" s="1"/>
  <c r="E13" i="13"/>
  <c r="K12" i="13"/>
  <c r="G12" i="13"/>
  <c r="H12" i="13" s="1"/>
  <c r="E12" i="13"/>
  <c r="K11" i="13"/>
  <c r="G11" i="13"/>
  <c r="H11" i="13" s="1"/>
  <c r="E11" i="13"/>
  <c r="K10" i="13"/>
  <c r="G10" i="13"/>
  <c r="H10" i="13" s="1"/>
  <c r="E10" i="13"/>
  <c r="K9" i="13"/>
  <c r="G9" i="13"/>
  <c r="H9" i="13" s="1"/>
  <c r="E9" i="13"/>
  <c r="K8" i="13"/>
  <c r="G8" i="13"/>
  <c r="H8" i="13" s="1"/>
  <c r="E8" i="13"/>
  <c r="K7" i="13"/>
  <c r="G7" i="13"/>
  <c r="H7" i="13" s="1"/>
  <c r="M15" i="12"/>
  <c r="K15" i="12"/>
  <c r="G15" i="12"/>
  <c r="H15" i="12" s="1"/>
  <c r="E15" i="12"/>
  <c r="M14" i="12"/>
  <c r="K14" i="12"/>
  <c r="G14" i="12"/>
  <c r="H14" i="12" s="1"/>
  <c r="E14" i="12"/>
  <c r="M13" i="12"/>
  <c r="K13" i="12"/>
  <c r="G13" i="12"/>
  <c r="H13" i="12" s="1"/>
  <c r="E13" i="12"/>
  <c r="M12" i="12"/>
  <c r="K12" i="12"/>
  <c r="G12" i="12"/>
  <c r="H12" i="12" s="1"/>
  <c r="E12" i="12"/>
  <c r="M11" i="12"/>
  <c r="K11" i="12"/>
  <c r="G11" i="12"/>
  <c r="H11" i="12" s="1"/>
  <c r="E11" i="12"/>
  <c r="M10" i="12"/>
  <c r="K10" i="12"/>
  <c r="G10" i="12"/>
  <c r="H10" i="12" s="1"/>
  <c r="E10" i="12"/>
  <c r="M9" i="12"/>
  <c r="K9" i="12"/>
  <c r="G9" i="12"/>
  <c r="H9" i="12" s="1"/>
  <c r="E9" i="12"/>
  <c r="K8" i="12"/>
  <c r="G8" i="12"/>
  <c r="H8" i="12" s="1"/>
  <c r="M7" i="12"/>
  <c r="K7" i="12"/>
  <c r="G7" i="12"/>
  <c r="H7" i="12" s="1"/>
  <c r="K6" i="12"/>
  <c r="G6" i="12"/>
  <c r="H6" i="12" s="1"/>
  <c r="M15" i="11"/>
  <c r="K15" i="11"/>
  <c r="G15" i="11"/>
  <c r="H15" i="11" s="1"/>
  <c r="E15" i="11"/>
  <c r="M14" i="11"/>
  <c r="K14" i="11"/>
  <c r="G14" i="11"/>
  <c r="H14" i="11" s="1"/>
  <c r="E14" i="11"/>
  <c r="M13" i="11"/>
  <c r="K13" i="11"/>
  <c r="G13" i="11"/>
  <c r="H13" i="11" s="1"/>
  <c r="E13" i="11"/>
  <c r="M12" i="11"/>
  <c r="K12" i="11"/>
  <c r="G12" i="11"/>
  <c r="H12" i="11" s="1"/>
  <c r="E12" i="11"/>
  <c r="M11" i="11"/>
  <c r="K11" i="11"/>
  <c r="G11" i="11"/>
  <c r="H11" i="11" s="1"/>
  <c r="E11" i="11"/>
  <c r="M10" i="11"/>
  <c r="K10" i="11"/>
  <c r="G10" i="11"/>
  <c r="H10" i="11" s="1"/>
  <c r="E10" i="11"/>
  <c r="M9" i="11"/>
  <c r="K9" i="11"/>
  <c r="G9" i="11"/>
  <c r="H9" i="11" s="1"/>
  <c r="E9" i="11"/>
  <c r="K8" i="11"/>
  <c r="G8" i="11"/>
  <c r="H8" i="11" s="1"/>
  <c r="M7" i="11"/>
  <c r="K7" i="11"/>
  <c r="G7" i="11"/>
  <c r="H7" i="11" s="1"/>
  <c r="K6" i="11"/>
  <c r="G6" i="11"/>
  <c r="H6" i="11" s="1"/>
  <c r="M15" i="10"/>
  <c r="K15" i="10"/>
  <c r="G15" i="10"/>
  <c r="H15" i="10" s="1"/>
  <c r="E15" i="10"/>
  <c r="M14" i="10"/>
  <c r="K14" i="10"/>
  <c r="G14" i="10"/>
  <c r="H14" i="10" s="1"/>
  <c r="E14" i="10"/>
  <c r="M13" i="10"/>
  <c r="K13" i="10"/>
  <c r="G13" i="10"/>
  <c r="H13" i="10" s="1"/>
  <c r="E13" i="10"/>
  <c r="M12" i="10"/>
  <c r="K12" i="10"/>
  <c r="G12" i="10"/>
  <c r="H12" i="10" s="1"/>
  <c r="E12" i="10"/>
  <c r="M11" i="10"/>
  <c r="K11" i="10"/>
  <c r="G11" i="10"/>
  <c r="H11" i="10" s="1"/>
  <c r="E11" i="10"/>
  <c r="M10" i="10"/>
  <c r="K10" i="10"/>
  <c r="G10" i="10"/>
  <c r="H10" i="10" s="1"/>
  <c r="E10" i="10"/>
  <c r="M9" i="10"/>
  <c r="K9" i="10"/>
  <c r="G9" i="10"/>
  <c r="H9" i="10" s="1"/>
  <c r="E9" i="10"/>
  <c r="K8" i="10"/>
  <c r="G8" i="10"/>
  <c r="H8" i="10" s="1"/>
  <c r="M7" i="10"/>
  <c r="K7" i="10"/>
  <c r="G7" i="10"/>
  <c r="H7" i="10" s="1"/>
  <c r="L7" i="10" s="1"/>
  <c r="K6" i="10"/>
  <c r="G6" i="10"/>
  <c r="H6" i="10" s="1"/>
  <c r="G6" i="9"/>
  <c r="H6" i="9" s="1"/>
  <c r="G7" i="9"/>
  <c r="H7" i="9" s="1"/>
  <c r="G8" i="9"/>
  <c r="H8" i="9" s="1"/>
  <c r="G9" i="9"/>
  <c r="H9" i="9" s="1"/>
  <c r="G10" i="9"/>
  <c r="H10" i="9" s="1"/>
  <c r="G11" i="9"/>
  <c r="H11" i="9" s="1"/>
  <c r="G12" i="9"/>
  <c r="H12" i="9" s="1"/>
  <c r="G13" i="9"/>
  <c r="H13" i="9" s="1"/>
  <c r="E6" i="9"/>
  <c r="E7" i="9"/>
  <c r="E8" i="9"/>
  <c r="E9" i="9"/>
  <c r="E10" i="9"/>
  <c r="E11" i="9"/>
  <c r="E12" i="9"/>
  <c r="E13" i="9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11" i="7"/>
  <c r="I7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G25" i="8" l="1"/>
  <c r="H25" i="8" s="1"/>
  <c r="G17" i="8"/>
  <c r="H17" i="8" s="1"/>
  <c r="G9" i="8"/>
  <c r="H9" i="8" s="1"/>
  <c r="G24" i="8"/>
  <c r="H24" i="8" s="1"/>
  <c r="G16" i="8"/>
  <c r="H16" i="8" s="1"/>
  <c r="G8" i="8"/>
  <c r="H8" i="8" s="1"/>
  <c r="G23" i="8"/>
  <c r="H23" i="8" s="1"/>
  <c r="G15" i="8"/>
  <c r="H15" i="8" s="1"/>
  <c r="G7" i="8"/>
  <c r="H7" i="8" s="1"/>
  <c r="G22" i="8"/>
  <c r="H22" i="8" s="1"/>
  <c r="G6" i="8"/>
  <c r="H6" i="8" s="1"/>
  <c r="G21" i="8"/>
  <c r="H21" i="8" s="1"/>
  <c r="G5" i="8"/>
  <c r="H5" i="8" s="1"/>
  <c r="G20" i="8"/>
  <c r="H20" i="8" s="1"/>
  <c r="G27" i="8"/>
  <c r="H27" i="8" s="1"/>
  <c r="G19" i="8"/>
  <c r="H19" i="8" s="1"/>
  <c r="G11" i="8"/>
  <c r="H11" i="8" s="1"/>
  <c r="G14" i="8"/>
  <c r="H14" i="8" s="1"/>
  <c r="G13" i="8"/>
  <c r="H13" i="8" s="1"/>
  <c r="G28" i="8"/>
  <c r="H28" i="8" s="1"/>
  <c r="G12" i="8"/>
  <c r="H12" i="8" s="1"/>
  <c r="G26" i="8"/>
  <c r="H26" i="8" s="1"/>
  <c r="G18" i="8"/>
  <c r="H18" i="8" s="1"/>
  <c r="G10" i="8"/>
  <c r="H10" i="8" s="1"/>
  <c r="L11" i="13"/>
  <c r="L13" i="13"/>
  <c r="L15" i="9"/>
  <c r="M33" i="9"/>
  <c r="L14" i="9"/>
  <c r="L29" i="9"/>
  <c r="L21" i="9"/>
  <c r="L28" i="9"/>
  <c r="L20" i="9"/>
  <c r="L27" i="9"/>
  <c r="M29" i="9" s="1"/>
  <c r="L17" i="9"/>
  <c r="M17" i="9" s="1"/>
  <c r="L16" i="9"/>
  <c r="L26" i="9"/>
  <c r="M26" i="9" s="1"/>
  <c r="L19" i="9"/>
  <c r="L18" i="9"/>
  <c r="M18" i="9" s="1"/>
  <c r="L8" i="10"/>
  <c r="L7" i="11"/>
  <c r="L12" i="11"/>
  <c r="L14" i="11"/>
  <c r="L13" i="12"/>
  <c r="L15" i="12"/>
  <c r="L7" i="13"/>
  <c r="L13" i="10"/>
  <c r="L15" i="10"/>
  <c r="L8" i="11"/>
  <c r="L10" i="10"/>
  <c r="L12" i="10"/>
  <c r="L14" i="10"/>
  <c r="L13" i="11"/>
  <c r="L15" i="11"/>
  <c r="L8" i="12"/>
  <c r="L12" i="12"/>
  <c r="L14" i="12"/>
  <c r="L12" i="13"/>
  <c r="L14" i="13"/>
  <c r="L7" i="12"/>
  <c r="L6" i="11"/>
  <c r="L9" i="11"/>
  <c r="L11" i="11"/>
  <c r="L10" i="12"/>
  <c r="L8" i="13"/>
  <c r="L10" i="13"/>
  <c r="L10" i="11"/>
  <c r="L6" i="12"/>
  <c r="L9" i="12"/>
  <c r="L11" i="12"/>
  <c r="L9" i="13"/>
  <c r="L6" i="10"/>
  <c r="M6" i="10" s="1"/>
  <c r="L9" i="10"/>
  <c r="L11" i="10"/>
  <c r="L23" i="9"/>
  <c r="L25" i="9"/>
  <c r="M25" i="9" s="1"/>
  <c r="D54" i="3" s="1"/>
  <c r="L22" i="9"/>
  <c r="M22" i="9" s="1"/>
  <c r="L24" i="9"/>
  <c r="L8" i="9"/>
  <c r="L13" i="9"/>
  <c r="M17" i="13"/>
  <c r="M18" i="12"/>
  <c r="M18" i="11"/>
  <c r="M18" i="10"/>
  <c r="M8" i="12"/>
  <c r="M6" i="12"/>
  <c r="M6" i="11"/>
  <c r="M8" i="11"/>
  <c r="M8" i="10"/>
  <c r="M32" i="9"/>
  <c r="L12" i="9"/>
  <c r="L11" i="9"/>
  <c r="L10" i="9"/>
  <c r="M10" i="9" s="1"/>
  <c r="L7" i="9"/>
  <c r="L9" i="9"/>
  <c r="M9" i="9" s="1"/>
  <c r="L6" i="9"/>
  <c r="I29" i="6"/>
  <c r="M21" i="9" l="1"/>
  <c r="M16" i="9"/>
  <c r="M12" i="9"/>
  <c r="M17" i="12"/>
  <c r="D12" i="3" s="1"/>
  <c r="G32" i="2"/>
  <c r="G33" i="2" s="1"/>
  <c r="E13" i="4"/>
  <c r="E12" i="4" s="1"/>
  <c r="M17" i="11"/>
  <c r="D11" i="3" s="1"/>
  <c r="M8" i="9"/>
  <c r="M24" i="9"/>
  <c r="D53" i="3" s="1"/>
  <c r="M16" i="13"/>
  <c r="D13" i="3" s="1"/>
  <c r="D31" i="3"/>
  <c r="E6" i="4" s="1"/>
  <c r="M17" i="10"/>
  <c r="D10" i="3" s="1"/>
  <c r="M31" i="9"/>
  <c r="D51" i="3" l="1"/>
  <c r="D30" i="3"/>
  <c r="D55" i="3"/>
  <c r="D9" i="3"/>
  <c r="D17" i="3" s="1"/>
  <c r="E5" i="4" s="1"/>
  <c r="E4" i="4" s="1"/>
  <c r="E8" i="4" s="1"/>
  <c r="E10" i="4" s="1"/>
  <c r="G31" i="2"/>
  <c r="G21" i="2"/>
  <c r="G14" i="2"/>
  <c r="G6" i="2"/>
  <c r="E16" i="4" l="1"/>
  <c r="E22" i="4" s="1"/>
  <c r="E26" i="4" s="1"/>
  <c r="M6" i="13" l="1"/>
  <c r="M18" i="13"/>
  <c r="M14" i="13"/>
  <c r="M13" i="13"/>
  <c r="M12" i="13"/>
  <c r="M11" i="13"/>
  <c r="M10" i="13"/>
  <c r="M9" i="13"/>
  <c r="M8" i="13"/>
  <c r="M7" i="13"/>
  <c r="D29" i="3" l="1"/>
  <c r="D3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Vaio</author>
  </authors>
  <commentList>
    <comment ref="C11" authorId="0" shapeId="0" xr:uid="{02929229-DD3B-43D3-9B84-9BBA989E8CD8}">
      <text>
        <r>
          <rPr>
            <b/>
            <sz val="9"/>
            <color indexed="81"/>
            <rFont val="Segoe UI"/>
            <charset val="1"/>
          </rPr>
          <t>Igor Ferguson:</t>
        </r>
        <r>
          <rPr>
            <sz val="9"/>
            <color indexed="81"/>
            <rFont val="Segoe UI"/>
            <charset val="1"/>
          </rPr>
          <t xml:space="preserve">
Colocar descrição da despesa na coluna de observação
</t>
        </r>
      </text>
    </comment>
    <comment ref="C19" authorId="0" shapeId="0" xr:uid="{4D87CAEF-76BB-430E-9574-33AD15016898}">
      <text>
        <r>
          <rPr>
            <b/>
            <sz val="9"/>
            <color indexed="81"/>
            <rFont val="Segoe UI"/>
            <charset val="1"/>
          </rPr>
          <t>Igor Ferguson:</t>
        </r>
        <r>
          <rPr>
            <sz val="9"/>
            <color indexed="81"/>
            <rFont val="Segoe UI"/>
            <charset val="1"/>
          </rPr>
          <t xml:space="preserve">
Colocar descrição da despesa na coluna de observação
</t>
        </r>
      </text>
    </comment>
    <comment ref="C27" authorId="0" shapeId="0" xr:uid="{A4EFCA47-6FB5-43B6-86E1-CF82B070AF58}">
      <text>
        <r>
          <rPr>
            <b/>
            <sz val="9"/>
            <color indexed="81"/>
            <rFont val="Segoe UI"/>
            <charset val="1"/>
          </rPr>
          <t>Igor Ferguson:</t>
        </r>
        <r>
          <rPr>
            <sz val="9"/>
            <color indexed="81"/>
            <rFont val="Segoe UI"/>
            <charset val="1"/>
          </rPr>
          <t xml:space="preserve">
Colocar descrição da despesa na coluna de observação
</t>
        </r>
      </text>
    </comment>
    <comment ref="B29" authorId="0" shapeId="0" xr:uid="{1B43B0D7-D3B0-46FE-A97E-A77D45E10854}">
      <text>
        <r>
          <rPr>
            <b/>
            <sz val="9"/>
            <color indexed="81"/>
            <rFont val="Segoe UI"/>
            <charset val="1"/>
          </rPr>
          <t>Igor Ferguson:</t>
        </r>
        <r>
          <rPr>
            <sz val="9"/>
            <color indexed="81"/>
            <rFont val="Segoe UI"/>
            <charset val="1"/>
          </rPr>
          <t xml:space="preserve">
Colocar descrição da despesa na coluna de observação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Vaio</author>
  </authors>
  <commentList>
    <comment ref="B7" authorId="0" shapeId="0" xr:uid="{45E999E0-3FA5-4AD7-A52E-52AAE9942643}">
      <text>
        <r>
          <rPr>
            <b/>
            <sz val="9"/>
            <color indexed="81"/>
            <rFont val="Segoe UI"/>
            <family val="2"/>
          </rPr>
          <t>Igor Ferguson:</t>
        </r>
        <r>
          <rPr>
            <sz val="9"/>
            <color indexed="81"/>
            <rFont val="Segoe UI"/>
            <family val="2"/>
          </rPr>
          <t xml:space="preserve">
Exemplos: carrinhos, balanças, cortadores e maquinários, etc</t>
        </r>
      </text>
    </comment>
    <comment ref="B8" authorId="0" shapeId="0" xr:uid="{5ED21546-694D-45DF-A5D7-7309927C2FC4}">
      <text>
        <r>
          <rPr>
            <b/>
            <sz val="9"/>
            <color indexed="81"/>
            <rFont val="Segoe UI"/>
            <family val="2"/>
          </rPr>
          <t>Igor Ferguson:</t>
        </r>
        <r>
          <rPr>
            <sz val="9"/>
            <color indexed="81"/>
            <rFont val="Segoe UI"/>
            <family val="2"/>
          </rPr>
          <t xml:space="preserve">
Exemplos: estantes, prateleiras, etc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Vaio</author>
  </authors>
  <commentList>
    <comment ref="C8" authorId="0" shapeId="0" xr:uid="{37B23887-FAB4-46B5-BF5C-377AB6E87A5F}">
      <text>
        <r>
          <rPr>
            <b/>
            <sz val="9"/>
            <color indexed="81"/>
            <rFont val="Segoe UI"/>
            <family val="2"/>
          </rPr>
          <t>Igor Ferguson:</t>
        </r>
        <r>
          <rPr>
            <sz val="9"/>
            <color indexed="81"/>
            <rFont val="Segoe UI"/>
            <family val="2"/>
          </rPr>
          <t xml:space="preserve">
Imposto considerado 15%</t>
        </r>
      </text>
    </comment>
    <comment ref="C24" authorId="0" shapeId="0" xr:uid="{13EF1AE8-D4D0-4388-AE65-0BD54E5251AE}">
      <text>
        <r>
          <rPr>
            <b/>
            <sz val="9"/>
            <color indexed="81"/>
            <rFont val="Segoe UI"/>
            <family val="2"/>
          </rPr>
          <t>Igor Ferguson:</t>
        </r>
        <r>
          <rPr>
            <sz val="9"/>
            <color indexed="81"/>
            <rFont val="Segoe UI"/>
            <family val="2"/>
          </rPr>
          <t xml:space="preserve">
Imposto considerado 30%</t>
        </r>
      </text>
    </comment>
  </commentList>
</comments>
</file>

<file path=xl/sharedStrings.xml><?xml version="1.0" encoding="utf-8"?>
<sst xmlns="http://schemas.openxmlformats.org/spreadsheetml/2006/main" count="437" uniqueCount="154">
  <si>
    <t>Manutenção de Equipamentos</t>
  </si>
  <si>
    <t>Impostos</t>
  </si>
  <si>
    <t>Limpeza</t>
  </si>
  <si>
    <t>Aluguel Loja</t>
  </si>
  <si>
    <t>Seguros</t>
  </si>
  <si>
    <t>Outros</t>
  </si>
  <si>
    <t>Receita Líquida</t>
  </si>
  <si>
    <t>Investimentos</t>
  </si>
  <si>
    <t>Controle de Estoque</t>
  </si>
  <si>
    <t>Salários</t>
  </si>
  <si>
    <t>Bonificações</t>
  </si>
  <si>
    <t>Vales (Refeição, Transporte)</t>
  </si>
  <si>
    <t>Informática</t>
  </si>
  <si>
    <t>Serviços Terceirizados</t>
  </si>
  <si>
    <t>Escritório Contábil</t>
  </si>
  <si>
    <t>Escritório Advocacia</t>
  </si>
  <si>
    <t>Entregas</t>
  </si>
  <si>
    <t>Marketing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</si>
  <si>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</si>
  <si>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</si>
  <si>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</si>
  <si>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</si>
  <si>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</si>
  <si>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</si>
  <si>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</si>
  <si>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</si>
  <si>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</si>
  <si>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</si>
  <si>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</si>
  <si>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</si>
  <si>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</si>
  <si>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</si>
  <si>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</si>
  <si>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</si>
  <si>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</si>
  <si>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</si>
  <si>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Chocolate</t>
  </si>
  <si>
    <t>Cigarro</t>
  </si>
  <si>
    <t>Barra de Cereal</t>
  </si>
  <si>
    <t>Despesas</t>
  </si>
  <si>
    <t>Despesas de Funcionamento</t>
  </si>
  <si>
    <t>Itens Despesas</t>
  </si>
  <si>
    <t>Data</t>
  </si>
  <si>
    <t>Observação</t>
  </si>
  <si>
    <t>Valor Intermediário</t>
  </si>
  <si>
    <t>Valor Final</t>
  </si>
  <si>
    <t>Funcionários</t>
  </si>
  <si>
    <t>Água</t>
  </si>
  <si>
    <t>Energia</t>
  </si>
  <si>
    <t>Gás</t>
  </si>
  <si>
    <t>Telefone</t>
  </si>
  <si>
    <t xml:space="preserve">Despesas Funcionamento </t>
  </si>
  <si>
    <t>Férias, Licença Maternidade</t>
  </si>
  <si>
    <t>Total de Despesas Funcionamento</t>
  </si>
  <si>
    <t>Fornecedor</t>
  </si>
  <si>
    <t>Mercadoria</t>
  </si>
  <si>
    <t>Medida</t>
  </si>
  <si>
    <t>Quantidade</t>
  </si>
  <si>
    <t>Preço Unitário</t>
  </si>
  <si>
    <t>Desconto</t>
  </si>
  <si>
    <t>Valor Pago</t>
  </si>
  <si>
    <t>Produtos</t>
  </si>
  <si>
    <t>Preço de Compra Unitário</t>
  </si>
  <si>
    <t>Preço de Venda Unitário</t>
  </si>
  <si>
    <t>Unidade</t>
  </si>
  <si>
    <t>Pacote</t>
  </si>
  <si>
    <t>Kg</t>
  </si>
  <si>
    <t>Leite</t>
  </si>
  <si>
    <t>Litro</t>
  </si>
  <si>
    <t>Lata</t>
  </si>
  <si>
    <t>Barra</t>
  </si>
  <si>
    <t>Maço</t>
  </si>
  <si>
    <t>Pão de Forma</t>
  </si>
  <si>
    <t>Refrigerante</t>
  </si>
  <si>
    <t>Garrafa</t>
  </si>
  <si>
    <t>Fornecedor de Verduras</t>
  </si>
  <si>
    <t>Fornecedor de Grãos e Sementes</t>
  </si>
  <si>
    <t>Fornecedor de Bebidas</t>
  </si>
  <si>
    <t>Fornecedor de Cigarro</t>
  </si>
  <si>
    <t>Fornecedor de Doces</t>
  </si>
  <si>
    <t>Padaria</t>
  </si>
  <si>
    <t>Fornecedor de Frango</t>
  </si>
  <si>
    <t>Fornecedor de Peixe</t>
  </si>
  <si>
    <t>Fornecedor de Legumes</t>
  </si>
  <si>
    <t>Fornecedor de Carne</t>
  </si>
  <si>
    <t>Total de Compra de Mercadorias</t>
  </si>
  <si>
    <t>Total de Despesas</t>
  </si>
  <si>
    <t>Investimento</t>
  </si>
  <si>
    <t>Descrição</t>
  </si>
  <si>
    <t>Valor</t>
  </si>
  <si>
    <t>Investimento Inicial</t>
  </si>
  <si>
    <t>Estrutura (estantes, prateleiras, etc.)</t>
  </si>
  <si>
    <t>Documentaação, Sistema de Informação, Estrutura Inicial, Sistema de Refrigeração, Equipamentos</t>
  </si>
  <si>
    <t>Produto</t>
  </si>
  <si>
    <t>Data da Última Compra</t>
  </si>
  <si>
    <t>Quantidade Inicial</t>
  </si>
  <si>
    <t>Quantidade Comprada</t>
  </si>
  <si>
    <t>Quantidade Vendida</t>
  </si>
  <si>
    <t>Quantidade Atual</t>
  </si>
  <si>
    <t>Situação</t>
  </si>
  <si>
    <t>Vendas Semana 1</t>
  </si>
  <si>
    <t>ID da Venda</t>
  </si>
  <si>
    <t>Subtotal</t>
  </si>
  <si>
    <t>Entrega</t>
  </si>
  <si>
    <t>Valor de Entrega</t>
  </si>
  <si>
    <t>Total para o Cliente</t>
  </si>
  <si>
    <t>Preço de Entrega</t>
  </si>
  <si>
    <t>Regiãos de Entrega</t>
  </si>
  <si>
    <t>Centro</t>
  </si>
  <si>
    <t>Loja</t>
  </si>
  <si>
    <t>Zona Norte</t>
  </si>
  <si>
    <t>Zona Oeste</t>
  </si>
  <si>
    <t>Zona Sul</t>
  </si>
  <si>
    <t>Total</t>
  </si>
  <si>
    <t>Receita de Vendas na Semana</t>
  </si>
  <si>
    <t>Receita de Entregas</t>
  </si>
  <si>
    <t>Vendas Semana 2</t>
  </si>
  <si>
    <t>Vendas Semana 3</t>
  </si>
  <si>
    <t>Vendas Semana 4</t>
  </si>
  <si>
    <t>Vendas Semana 5</t>
  </si>
  <si>
    <t>Ticket Médio</t>
  </si>
  <si>
    <t>Quantidade de Venda por Região</t>
  </si>
  <si>
    <t>Total de Vendas Semana 1</t>
  </si>
  <si>
    <t>Total de Vendas Semana 2</t>
  </si>
  <si>
    <t>Total de Vendas Semana 3</t>
  </si>
  <si>
    <t>Total de Vendas Semana 4</t>
  </si>
  <si>
    <t>Total de Vendas Semana 5</t>
  </si>
  <si>
    <t>Julho</t>
  </si>
  <si>
    <t>Vendas por Entrega (%)</t>
  </si>
  <si>
    <t>Vendas por Entrega (R$)</t>
  </si>
  <si>
    <t>Receita Entregas (R$)</t>
  </si>
  <si>
    <t>Número de Vendas</t>
  </si>
  <si>
    <t>Total de Receitas</t>
  </si>
  <si>
    <t>Imposto sobre Receita</t>
  </si>
  <si>
    <t>Resultado Bruto</t>
  </si>
  <si>
    <t>Depreciação e Amortização</t>
  </si>
  <si>
    <t>Resultado antes do Imposto</t>
  </si>
  <si>
    <t>Imposto</t>
  </si>
  <si>
    <t>Resultado Líquido</t>
  </si>
  <si>
    <t>Receita Mercadorias</t>
  </si>
  <si>
    <t>Receita das Entregas</t>
  </si>
  <si>
    <t>Despesas Mercadorias</t>
  </si>
  <si>
    <t>Despesas Funcionamento</t>
  </si>
  <si>
    <t>Total Investimento</t>
  </si>
  <si>
    <t>Resultados</t>
  </si>
  <si>
    <t xml:space="preserve">Vendas </t>
  </si>
  <si>
    <t>Equipamentos</t>
  </si>
  <si>
    <t>Controle Mercadorias</t>
  </si>
  <si>
    <t>Rótulos de Linha</t>
  </si>
  <si>
    <t>Total Geral</t>
  </si>
  <si>
    <t>Soma de Total</t>
  </si>
  <si>
    <t>Soma de Valor de Entrega</t>
  </si>
  <si>
    <t>Soma de Quantidade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</si>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</sst>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8"/>
      <name val="Calibri"/>
      <family val="2"/>
      <scheme val="minor"/>
    </font>
    <font>
      <b/>
      <sz val="16"/>
      <color rgb="FF46E307"/>
      <name val="Calibri"/>
      <family val="2"/>
      <scheme val="minor"/>
    </font>
    <font>
      <sz val="8"/>
      <name val="Calibri"/>
      <family val="2"/>
      <scheme val="minor"/>
    </font>
    <font>
      <sz val="11"/>
      <color rgb="FF46E307"/>
      <name val="Calibri"/>
      <family val="2"/>
      <scheme val="minor"/>
    </font>
    <font>
      <sz val="14"/>
      <color rgb="FF46E307"/>
      <name val="Calibri"/>
      <family val="2"/>
      <scheme val="minor"/>
    </font>
    <font>
      <b/>
      <sz val="14"/>
      <color rgb="FF46E307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46E307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rgb="FF002060"/>
      </top>
      <bottom style="thin">
        <color rgb="FF002060"/>
      </bottom>
      <diagonal/>
    </border>
    <border>
      <left/>
      <right/>
      <top style="thin">
        <color rgb="FF002060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rgb="FF002060"/>
      </bottom>
      <diagonal/>
    </border>
    <border>
      <left/>
      <right/>
      <top/>
      <bottom style="thick">
        <color rgb="FF46E307"/>
      </bottom>
      <diagonal/>
    </border>
    <border>
      <left style="thin">
        <color rgb="FF46E307"/>
      </left>
      <right/>
      <top style="thin">
        <color rgb="FF46E307"/>
      </top>
      <bottom/>
      <diagonal/>
    </border>
    <border>
      <left/>
      <right/>
      <top style="thin">
        <color rgb="FF46E307"/>
      </top>
      <bottom/>
      <diagonal/>
    </border>
    <border>
      <left/>
      <right style="thin">
        <color rgb="FF46E307"/>
      </right>
      <top style="thin">
        <color rgb="FF46E307"/>
      </top>
      <bottom/>
      <diagonal/>
    </border>
    <border>
      <left style="thin">
        <color rgb="FF46E307"/>
      </left>
      <right/>
      <top/>
      <bottom/>
      <diagonal/>
    </border>
    <border>
      <left/>
      <right style="thin">
        <color rgb="FF46E307"/>
      </right>
      <top/>
      <bottom/>
      <diagonal/>
    </border>
    <border>
      <left style="thin">
        <color rgb="FF46E307"/>
      </left>
      <right/>
      <top/>
      <bottom style="thin">
        <color rgb="FF46E307"/>
      </bottom>
      <diagonal/>
    </border>
    <border>
      <left/>
      <right/>
      <top/>
      <bottom style="thin">
        <color rgb="FF46E307"/>
      </bottom>
      <diagonal/>
    </border>
    <border>
      <left/>
      <right style="thin">
        <color rgb="FF46E307"/>
      </right>
      <top/>
      <bottom style="thin">
        <color rgb="FF46E307"/>
      </bottom>
      <diagonal/>
    </border>
    <border>
      <left/>
      <right/>
      <top style="thin">
        <color rgb="FF46E307"/>
      </top>
      <bottom style="thin">
        <color rgb="FF46E307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0" fillId="2" borderId="0" xfId="0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44" fontId="0" fillId="0" borderId="0" xfId="0" applyNumberFormat="1"/>
    <xf numFmtId="0" fontId="4" fillId="0" borderId="0" xfId="0" applyFont="1"/>
    <xf numFmtId="44" fontId="4" fillId="0" borderId="0" xfId="0" applyNumberFormat="1" applyFont="1"/>
    <xf numFmtId="9" fontId="0" fillId="0" borderId="0" xfId="2" applyFont="1"/>
    <xf numFmtId="14" fontId="0" fillId="0" borderId="0" xfId="0" applyNumberFormat="1"/>
    <xf numFmtId="0" fontId="2" fillId="0" borderId="0" xfId="0" applyFont="1"/>
    <xf numFmtId="44" fontId="0" fillId="0" borderId="0" xfId="1" applyFont="1"/>
    <xf numFmtId="0" fontId="4" fillId="0" borderId="1" xfId="0" applyFont="1" applyBorder="1"/>
    <xf numFmtId="44" fontId="4" fillId="0" borderId="1" xfId="0" applyNumberFormat="1" applyFont="1" applyBorder="1"/>
    <xf numFmtId="0" fontId="4" fillId="0" borderId="2" xfId="0" applyFont="1" applyBorder="1"/>
    <xf numFmtId="44" fontId="4" fillId="0" borderId="2" xfId="0" applyNumberFormat="1" applyFont="1" applyBorder="1"/>
    <xf numFmtId="0" fontId="0" fillId="0" borderId="0" xfId="0" applyAlignment="1">
      <alignment wrapText="1"/>
    </xf>
    <xf numFmtId="0" fontId="3" fillId="3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0" borderId="4" xfId="0" applyBorder="1"/>
    <xf numFmtId="0" fontId="5" fillId="0" borderId="5" xfId="0" applyFont="1" applyBorder="1"/>
    <xf numFmtId="44" fontId="5" fillId="0" borderId="5" xfId="0" applyNumberFormat="1" applyFont="1" applyBorder="1"/>
    <xf numFmtId="0" fontId="5" fillId="0" borderId="2" xfId="0" applyFont="1" applyBorder="1"/>
    <xf numFmtId="44" fontId="5" fillId="0" borderId="2" xfId="0" applyNumberFormat="1" applyFont="1" applyBorder="1"/>
    <xf numFmtId="14" fontId="0" fillId="0" borderId="3" xfId="0" applyNumberFormat="1" applyBorder="1"/>
    <xf numFmtId="0" fontId="5" fillId="0" borderId="0" xfId="0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7" fillId="0" borderId="0" xfId="0" applyFont="1"/>
    <xf numFmtId="0" fontId="8" fillId="0" borderId="13" xfId="0" applyFont="1" applyBorder="1"/>
    <xf numFmtId="44" fontId="8" fillId="0" borderId="13" xfId="0" applyNumberFormat="1" applyFont="1" applyBorder="1"/>
    <xf numFmtId="0" fontId="8" fillId="0" borderId="15" xfId="0" applyFont="1" applyBorder="1"/>
    <xf numFmtId="44" fontId="8" fillId="0" borderId="15" xfId="0" applyNumberFormat="1" applyFont="1" applyBorder="1"/>
    <xf numFmtId="0" fontId="8" fillId="0" borderId="8" xfId="0" applyFont="1" applyBorder="1"/>
    <xf numFmtId="44" fontId="8" fillId="0" borderId="8" xfId="0" applyNumberFormat="1" applyFont="1" applyBorder="1"/>
    <xf numFmtId="0" fontId="9" fillId="0" borderId="0" xfId="0" applyFont="1"/>
    <xf numFmtId="44" fontId="9" fillId="0" borderId="0" xfId="0" applyNumberFormat="1" applyFont="1"/>
    <xf numFmtId="0" fontId="5" fillId="0" borderId="6" xfId="0" applyFont="1" applyBorder="1" applyAlignment="1">
      <alignment horizontal="right"/>
    </xf>
    <xf numFmtId="9" fontId="8" fillId="0" borderId="13" xfId="2" applyFont="1" applyBorder="1"/>
    <xf numFmtId="0" fontId="10" fillId="0" borderId="16" xfId="0" applyFont="1" applyBorder="1"/>
    <xf numFmtId="44" fontId="10" fillId="0" borderId="16" xfId="1" applyFont="1" applyBorder="1"/>
    <xf numFmtId="0" fontId="10" fillId="0" borderId="0" xfId="0" applyFont="1"/>
    <xf numFmtId="0" fontId="10" fillId="0" borderId="17" xfId="0" applyFont="1" applyBorder="1"/>
    <xf numFmtId="44" fontId="10" fillId="0" borderId="17" xfId="1" applyFont="1" applyBorder="1"/>
    <xf numFmtId="44" fontId="10" fillId="0" borderId="0" xfId="1" applyFont="1"/>
    <xf numFmtId="0" fontId="10" fillId="0" borderId="4" xfId="0" applyFont="1" applyBorder="1"/>
    <xf numFmtId="44" fontId="10" fillId="0" borderId="4" xfId="1" applyFont="1" applyBorder="1"/>
    <xf numFmtId="0" fontId="10" fillId="0" borderId="18" xfId="0" applyFont="1" applyBorder="1"/>
    <xf numFmtId="44" fontId="10" fillId="0" borderId="18" xfId="1" applyFont="1" applyBorder="1"/>
    <xf numFmtId="44" fontId="10" fillId="0" borderId="0" xfId="1" applyFont="1" applyBorder="1"/>
    <xf numFmtId="0" fontId="10" fillId="0" borderId="19" xfId="0" applyFont="1" applyBorder="1"/>
    <xf numFmtId="44" fontId="10" fillId="0" borderId="19" xfId="1" applyFont="1" applyBorder="1"/>
    <xf numFmtId="0" fontId="11" fillId="0" borderId="0" xfId="0" applyFon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54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ont>
        <color theme="1"/>
      </font>
      <fill>
        <patternFill>
          <bgColor rgb="FF00B050"/>
        </patternFill>
      </fill>
    </dxf>
    <dxf>
      <font>
        <color theme="0"/>
      </font>
      <fill>
        <patternFill>
          <bgColor rgb="FFFF5050"/>
        </patternFill>
      </fill>
    </dxf>
    <dxf>
      <font>
        <color theme="1"/>
      </font>
      <fill>
        <patternFill>
          <bgColor rgb="FFFFFF00"/>
        </patternFill>
      </fill>
    </dxf>
    <dxf>
      <numFmt numFmtId="34" formatCode="_-&quot;R$&quot;\ * #,##0.00_-;\-&quot;R$&quot;\ * #,##0.00_-;_-&quot;R$&quot;\ * &quot;-&quot;??_-;_-@_-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34" formatCode="_-&quot;R$&quot;\ * #,##0.00_-;\-&quot;R$&quot;\ * #,##0.00_-;_-&quot;R$&quot;\ * &quot;-&quot;??_-;_-@_-"/>
    </dxf>
  </dxfs>
  <tableStyles count="0" defaultTableStyle="TableStyleMedium2" defaultPivotStyle="PivotStyleLight16"/>
  <colors>
    <mruColors>
      <color rgb="FF46E307"/>
      <color rgb="FFFF505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290006362841011"/>
          <c:y val="6.5510159383291855E-2"/>
          <c:w val="0.81543241469816274"/>
          <c:h val="0.67003098571011954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Vendas!$C$9:$C$13</c:f>
              <c:strCache>
                <c:ptCount val="5"/>
                <c:pt idx="0">
                  <c:v>Total de Vendas Semana 1</c:v>
                </c:pt>
                <c:pt idx="1">
                  <c:v>Total de Vendas Semana 2</c:v>
                </c:pt>
                <c:pt idx="2">
                  <c:v>Total de Vendas Semana 3</c:v>
                </c:pt>
                <c:pt idx="3">
                  <c:v>Total de Vendas Semana 4</c:v>
                </c:pt>
                <c:pt idx="4">
                  <c:v>Total de Vendas Semana 5</c:v>
                </c:pt>
              </c:strCache>
            </c:strRef>
          </c:cat>
          <c:val>
            <c:numRef>
              <c:f>Vendas!$D$9:$D$13</c:f>
              <c:numCache>
                <c:formatCode>_("R$"* #,##0.00_);_("R$"* \(#,##0.00\);_("R$"* "-"??_);_(@_)</c:formatCode>
                <c:ptCount val="5"/>
                <c:pt idx="0">
                  <c:v>659.37000000000012</c:v>
                </c:pt>
                <c:pt idx="1">
                  <c:v>62.9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84-4A4A-BCC3-333489B25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51759952"/>
        <c:axId val="551757328"/>
      </c:barChart>
      <c:catAx>
        <c:axId val="55175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1757328"/>
        <c:crosses val="autoZero"/>
        <c:auto val="1"/>
        <c:lblAlgn val="ctr"/>
        <c:lblOffset val="100"/>
        <c:noMultiLvlLbl val="0"/>
      </c:catAx>
      <c:valAx>
        <c:axId val="55175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175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Vendas!$C$30:$C$31</c:f>
              <c:strCache>
                <c:ptCount val="2"/>
                <c:pt idx="0">
                  <c:v>Vendas por Entrega (R$)</c:v>
                </c:pt>
                <c:pt idx="1">
                  <c:v>Receita Entregas (R$)</c:v>
                </c:pt>
              </c:strCache>
            </c:strRef>
          </c:cat>
          <c:val>
            <c:numRef>
              <c:f>Vendas!$D$30:$D$31</c:f>
              <c:numCache>
                <c:formatCode>_("R$"* #,##0.00_);_("R$"* \(#,##0.00\);_("R$"* "-"??_);_(@_)</c:formatCode>
                <c:ptCount val="2"/>
                <c:pt idx="0">
                  <c:v>395.88</c:v>
                </c:pt>
                <c:pt idx="1">
                  <c:v>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93-48B5-924D-12770B993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66501840"/>
        <c:axId val="566500856"/>
      </c:barChart>
      <c:catAx>
        <c:axId val="5665018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6500856"/>
        <c:crosses val="autoZero"/>
        <c:auto val="1"/>
        <c:lblAlgn val="ctr"/>
        <c:lblOffset val="100"/>
        <c:noMultiLvlLbl val="0"/>
      </c:catAx>
      <c:valAx>
        <c:axId val="566500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650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684-46C6-8957-D173AA477AE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684-46C6-8957-D173AA477AE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7684-46C6-8957-D173AA477AE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7684-46C6-8957-D173AA477AE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7684-46C6-8957-D173AA477A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Vendas!$C$51:$C$55</c:f>
              <c:strCache>
                <c:ptCount val="5"/>
                <c:pt idx="0">
                  <c:v>Loja</c:v>
                </c:pt>
                <c:pt idx="1">
                  <c:v>Centro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Vendas!$D$51:$D$55</c:f>
              <c:numCache>
                <c:formatCode>General</c:formatCode>
                <c:ptCount val="5"/>
                <c:pt idx="0">
                  <c:v>7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B-4304-821C-D4612AFE04F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vestimentos!A1"/><Relationship Id="rId2" Type="http://schemas.openxmlformats.org/officeDocument/2006/relationships/hyperlink" Target="#'Controle Mercadorias'!A1"/><Relationship Id="rId1" Type="http://schemas.openxmlformats.org/officeDocument/2006/relationships/hyperlink" Target="#Despesas!A1"/><Relationship Id="rId6" Type="http://schemas.openxmlformats.org/officeDocument/2006/relationships/hyperlink" Target="#Vendas!A1"/><Relationship Id="rId5" Type="http://schemas.openxmlformats.org/officeDocument/2006/relationships/hyperlink" Target="#Resultados!A1"/><Relationship Id="rId4" Type="http://schemas.openxmlformats.org/officeDocument/2006/relationships/hyperlink" Target="#'Controle de Estoque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2" Type="http://schemas.openxmlformats.org/officeDocument/2006/relationships/hyperlink" Target="#'Controle Mercadorias'!A1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Controle de Estoque'!A1"/><Relationship Id="rId2" Type="http://schemas.openxmlformats.org/officeDocument/2006/relationships/hyperlink" Target="#Despesas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Controle Mercadorias'!A1"/><Relationship Id="rId2" Type="http://schemas.openxmlformats.org/officeDocument/2006/relationships/hyperlink" Target="#Despesas!A1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Despesas!A1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Semana 2'!A1"/><Relationship Id="rId3" Type="http://schemas.openxmlformats.org/officeDocument/2006/relationships/hyperlink" Target="#Menu!A1"/><Relationship Id="rId7" Type="http://schemas.openxmlformats.org/officeDocument/2006/relationships/hyperlink" Target="#'Semana 1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11" Type="http://schemas.openxmlformats.org/officeDocument/2006/relationships/hyperlink" Target="#'Semana 5'!A1"/><Relationship Id="rId5" Type="http://schemas.openxmlformats.org/officeDocument/2006/relationships/hyperlink" Target="#Vendas!C67"/><Relationship Id="rId10" Type="http://schemas.openxmlformats.org/officeDocument/2006/relationships/hyperlink" Target="#'Semana 4'!A1"/><Relationship Id="rId4" Type="http://schemas.openxmlformats.org/officeDocument/2006/relationships/hyperlink" Target="#'Controle Mercadorias'!A1"/><Relationship Id="rId9" Type="http://schemas.openxmlformats.org/officeDocument/2006/relationships/hyperlink" Target="#'Semana 3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An&#225;lise Semana 1'!A1"/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Semana 1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An&#225;lise Semana 2'!A1"/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Semana 2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n&#225;lise Semana 3'!A1"/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Semana 3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An&#225;lise Semana 4'!A1"/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'Semana 4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An&#225;lise Semana 5'!A1"/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'Semana 5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106680</xdr:colOff>
      <xdr:row>21</xdr:row>
      <xdr:rowOff>167640</xdr:rowOff>
    </xdr:from>
    <xdr:to>
      <xdr:col>5</xdr:col>
      <xdr:colOff>457200</xdr:colOff>
      <xdr:row>24</xdr:row>
      <xdr:rowOff>144780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DA2506-40D0-409D-A26E-519E17EF5A25}"/>
            </a:ext>
          </a:extLst>
        </xdr:cNvPr>
        <xdr:cNvSpPr/>
      </xdr:nvSpPr>
      <xdr:spPr>
        <a:xfrm>
          <a:off x="1935480" y="4008120"/>
          <a:ext cx="1569720" cy="525780"/>
        </a:xfrm>
        <a:prstGeom prst="roundRect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Despesas </a:t>
          </a:r>
        </a:p>
      </xdr:txBody>
    </xdr:sp>
    <xdr:clientData/>
  </xdr:twoCellAnchor>
  <xdr:twoCellAnchor>
    <xdr:from>
      <xdr:col>6</xdr:col>
      <xdr:colOff>160020</xdr:colOff>
      <xdr:row>21</xdr:row>
      <xdr:rowOff>175260</xdr:rowOff>
    </xdr:from>
    <xdr:to>
      <xdr:col>8</xdr:col>
      <xdr:colOff>510540</xdr:colOff>
      <xdr:row>24</xdr:row>
      <xdr:rowOff>152400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5867FA4-68D5-4354-B6AF-F8C400E2A4C7}"/>
            </a:ext>
          </a:extLst>
        </xdr:cNvPr>
        <xdr:cNvSpPr/>
      </xdr:nvSpPr>
      <xdr:spPr>
        <a:xfrm>
          <a:off x="3817620" y="4015740"/>
          <a:ext cx="1569720" cy="525780"/>
        </a:xfrm>
        <a:prstGeom prst="roundRect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Compras</a:t>
          </a:r>
          <a:r>
            <a:rPr lang="pt-BR" sz="1100" baseline="0">
              <a:solidFill>
                <a:schemeClr val="accent1"/>
              </a:solidFill>
            </a:rPr>
            <a:t> Mercadorias</a:t>
          </a:r>
          <a:r>
            <a:rPr lang="pt-BR" sz="1100">
              <a:solidFill>
                <a:schemeClr val="accent1"/>
              </a:solidFill>
            </a:rPr>
            <a:t> </a:t>
          </a:r>
        </a:p>
      </xdr:txBody>
    </xdr:sp>
    <xdr:clientData/>
  </xdr:twoCellAnchor>
  <xdr:twoCellAnchor>
    <xdr:from>
      <xdr:col>9</xdr:col>
      <xdr:colOff>182880</xdr:colOff>
      <xdr:row>22</xdr:row>
      <xdr:rowOff>0</xdr:rowOff>
    </xdr:from>
    <xdr:to>
      <xdr:col>11</xdr:col>
      <xdr:colOff>533400</xdr:colOff>
      <xdr:row>24</xdr:row>
      <xdr:rowOff>160020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E305B6D-4A2D-4126-ADDE-9D604B9E3CA0}"/>
            </a:ext>
          </a:extLst>
        </xdr:cNvPr>
        <xdr:cNvSpPr/>
      </xdr:nvSpPr>
      <xdr:spPr>
        <a:xfrm>
          <a:off x="5669280" y="4023360"/>
          <a:ext cx="1569720" cy="525780"/>
        </a:xfrm>
        <a:prstGeom prst="roundRect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Investimentos</a:t>
          </a:r>
        </a:p>
      </xdr:txBody>
    </xdr:sp>
    <xdr:clientData/>
  </xdr:twoCellAnchor>
  <xdr:twoCellAnchor>
    <xdr:from>
      <xdr:col>12</xdr:col>
      <xdr:colOff>220980</xdr:colOff>
      <xdr:row>21</xdr:row>
      <xdr:rowOff>167640</xdr:rowOff>
    </xdr:from>
    <xdr:to>
      <xdr:col>14</xdr:col>
      <xdr:colOff>571500</xdr:colOff>
      <xdr:row>24</xdr:row>
      <xdr:rowOff>144780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5E695A5-0011-4B14-8F1A-C8A250947AEE}"/>
            </a:ext>
          </a:extLst>
        </xdr:cNvPr>
        <xdr:cNvSpPr/>
      </xdr:nvSpPr>
      <xdr:spPr>
        <a:xfrm>
          <a:off x="7536180" y="4008120"/>
          <a:ext cx="1569720" cy="525780"/>
        </a:xfrm>
        <a:prstGeom prst="roundRect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Controle</a:t>
          </a:r>
          <a:r>
            <a:rPr lang="pt-BR" sz="1100" baseline="0">
              <a:solidFill>
                <a:schemeClr val="accent1"/>
              </a:solidFill>
            </a:rPr>
            <a:t> de Estoque</a:t>
          </a:r>
          <a:r>
            <a:rPr lang="pt-BR" sz="1100">
              <a:solidFill>
                <a:schemeClr val="accent1"/>
              </a:solidFill>
            </a:rPr>
            <a:t> </a:t>
          </a:r>
        </a:p>
      </xdr:txBody>
    </xdr:sp>
    <xdr:clientData/>
  </xdr:twoCellAnchor>
  <xdr:twoCellAnchor>
    <xdr:from>
      <xdr:col>18</xdr:col>
      <xdr:colOff>152400</xdr:colOff>
      <xdr:row>22</xdr:row>
      <xdr:rowOff>22860</xdr:rowOff>
    </xdr:from>
    <xdr:to>
      <xdr:col>20</xdr:col>
      <xdr:colOff>502920</xdr:colOff>
      <xdr:row>25</xdr:row>
      <xdr:rowOff>0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98C883E-BDB1-45C4-B942-3AFD9A3E7F49}"/>
            </a:ext>
          </a:extLst>
        </xdr:cNvPr>
        <xdr:cNvSpPr/>
      </xdr:nvSpPr>
      <xdr:spPr>
        <a:xfrm>
          <a:off x="11125200" y="4046220"/>
          <a:ext cx="1569720" cy="525780"/>
        </a:xfrm>
        <a:prstGeom prst="roundRect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Resultados</a:t>
          </a:r>
        </a:p>
      </xdr:txBody>
    </xdr:sp>
    <xdr:clientData/>
  </xdr:twoCellAnchor>
  <xdr:twoCellAnchor>
    <xdr:from>
      <xdr:col>15</xdr:col>
      <xdr:colOff>190500</xdr:colOff>
      <xdr:row>22</xdr:row>
      <xdr:rowOff>7620</xdr:rowOff>
    </xdr:from>
    <xdr:to>
      <xdr:col>17</xdr:col>
      <xdr:colOff>541020</xdr:colOff>
      <xdr:row>24</xdr:row>
      <xdr:rowOff>167640</xdr:rowOff>
    </xdr:to>
    <xdr:sp macro="" textlink="">
      <xdr:nvSpPr>
        <xdr:cNvPr id="12" name="Retângulo: Cantos Arredondados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90E98F9-11CB-4D1B-83EF-4731F73B1E84}"/>
            </a:ext>
          </a:extLst>
        </xdr:cNvPr>
        <xdr:cNvSpPr/>
      </xdr:nvSpPr>
      <xdr:spPr>
        <a:xfrm>
          <a:off x="9334500" y="4030980"/>
          <a:ext cx="1569720" cy="525780"/>
        </a:xfrm>
        <a:prstGeom prst="roundRect">
          <a:avLst/>
        </a:prstGeom>
        <a:solidFill>
          <a:schemeClr val="bg1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Vendas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1073426</xdr:colOff>
      <xdr:row>1</xdr:row>
      <xdr:rowOff>19878</xdr:rowOff>
    </xdr:from>
    <xdr:to>
      <xdr:col>4</xdr:col>
      <xdr:colOff>1700917</xdr:colOff>
      <xdr:row>1</xdr:row>
      <xdr:rowOff>331305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C65AAF-06B2-4010-96CB-8D815887B919}"/>
            </a:ext>
          </a:extLst>
        </xdr:cNvPr>
        <xdr:cNvSpPr/>
      </xdr:nvSpPr>
      <xdr:spPr>
        <a:xfrm>
          <a:off x="6400800" y="205408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4</xdr:col>
      <xdr:colOff>1762539</xdr:colOff>
      <xdr:row>1</xdr:row>
      <xdr:rowOff>19878</xdr:rowOff>
    </xdr:from>
    <xdr:to>
      <xdr:col>6</xdr:col>
      <xdr:colOff>137160</xdr:colOff>
      <xdr:row>1</xdr:row>
      <xdr:rowOff>331305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5D8983-6F55-427D-A3D2-01AAB9F4414C}"/>
            </a:ext>
          </a:extLst>
        </xdr:cNvPr>
        <xdr:cNvSpPr/>
      </xdr:nvSpPr>
      <xdr:spPr>
        <a:xfrm>
          <a:off x="8249478" y="205408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Controle</a:t>
          </a:r>
          <a:r>
            <a:rPr lang="pt-BR" sz="1100" baseline="0"/>
            <a:t> Mercadorias</a:t>
          </a:r>
          <a:endParaRPr lang="pt-BR" sz="1100"/>
        </a:p>
      </xdr:txBody>
    </xdr:sp>
    <xdr:clientData/>
  </xdr:twoCellAnchor>
  <xdr:twoCellAnchor>
    <xdr:from>
      <xdr:col>6</xdr:col>
      <xdr:colOff>198782</xdr:colOff>
      <xdr:row>1</xdr:row>
      <xdr:rowOff>26504</xdr:rowOff>
    </xdr:from>
    <xdr:to>
      <xdr:col>7</xdr:col>
      <xdr:colOff>355821</xdr:colOff>
      <xdr:row>1</xdr:row>
      <xdr:rowOff>337931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4537633-8DF6-4BDB-B2D6-F229B5061539}"/>
            </a:ext>
          </a:extLst>
        </xdr:cNvPr>
        <xdr:cNvSpPr/>
      </xdr:nvSpPr>
      <xdr:spPr>
        <a:xfrm>
          <a:off x="10098156" y="212034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1</xdr:row>
      <xdr:rowOff>15240</xdr:rowOff>
    </xdr:from>
    <xdr:to>
      <xdr:col>7</xdr:col>
      <xdr:colOff>453556</xdr:colOff>
      <xdr:row>1</xdr:row>
      <xdr:rowOff>326667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3A3167-5BD1-4B55-BB0D-5D24D389C962}"/>
            </a:ext>
          </a:extLst>
        </xdr:cNvPr>
        <xdr:cNvSpPr/>
      </xdr:nvSpPr>
      <xdr:spPr>
        <a:xfrm>
          <a:off x="8382000" y="198120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7</xdr:col>
      <xdr:colOff>515178</xdr:colOff>
      <xdr:row>1</xdr:row>
      <xdr:rowOff>15240</xdr:rowOff>
    </xdr:from>
    <xdr:to>
      <xdr:col>8</xdr:col>
      <xdr:colOff>1273534</xdr:colOff>
      <xdr:row>1</xdr:row>
      <xdr:rowOff>326667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30B304D-6A7F-4B79-8636-43AB36D06669}"/>
            </a:ext>
          </a:extLst>
        </xdr:cNvPr>
        <xdr:cNvSpPr/>
      </xdr:nvSpPr>
      <xdr:spPr>
        <a:xfrm>
          <a:off x="10230678" y="198120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8</xdr:col>
      <xdr:colOff>1335156</xdr:colOff>
      <xdr:row>1</xdr:row>
      <xdr:rowOff>21866</xdr:rowOff>
    </xdr:from>
    <xdr:to>
      <xdr:col>11</xdr:col>
      <xdr:colOff>257092</xdr:colOff>
      <xdr:row>1</xdr:row>
      <xdr:rowOff>333293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05A0B41-9A20-4134-BDBC-2D93D6DA20B3}"/>
            </a:ext>
          </a:extLst>
        </xdr:cNvPr>
        <xdr:cNvSpPr/>
      </xdr:nvSpPr>
      <xdr:spPr>
        <a:xfrm>
          <a:off x="12079356" y="204746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Controle</a:t>
          </a:r>
          <a:r>
            <a:rPr lang="pt-BR" sz="1100" baseline="0"/>
            <a:t> de Estoque</a:t>
          </a:r>
          <a:endParaRPr lang="pt-BR" sz="1100"/>
        </a:p>
      </xdr:txBody>
    </xdr:sp>
    <xdr:clientData/>
  </xdr:twoCellAnchor>
  <xdr:twoCellAnchor>
    <xdr:from>
      <xdr:col>9</xdr:col>
      <xdr:colOff>60960</xdr:colOff>
      <xdr:row>4</xdr:row>
      <xdr:rowOff>0</xdr:rowOff>
    </xdr:from>
    <xdr:to>
      <xdr:col>11</xdr:col>
      <xdr:colOff>441960</xdr:colOff>
      <xdr:row>6</xdr:row>
      <xdr:rowOff>15240</xdr:rowOff>
    </xdr:to>
    <xdr:sp macro="[0]!inserir_compr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DBC766D-72DE-41F4-82FB-D795E839E9EE}"/>
            </a:ext>
          </a:extLst>
        </xdr:cNvPr>
        <xdr:cNvSpPr/>
      </xdr:nvSpPr>
      <xdr:spPr>
        <a:xfrm>
          <a:off x="12451080" y="1150620"/>
          <a:ext cx="1600200" cy="381000"/>
        </a:xfrm>
        <a:prstGeom prst="roundRect">
          <a:avLst/>
        </a:prstGeom>
        <a:solidFill>
          <a:schemeClr val="bg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Inserir</a:t>
          </a:r>
          <a:r>
            <a:rPr lang="pt-BR" sz="1100" baseline="0">
              <a:solidFill>
                <a:schemeClr val="accent1"/>
              </a:solidFill>
            </a:rPr>
            <a:t> Compra</a:t>
          </a:r>
          <a:endParaRPr lang="pt-BR" sz="1100">
            <a:solidFill>
              <a:schemeClr val="accent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1341120</xdr:colOff>
      <xdr:row>1</xdr:row>
      <xdr:rowOff>22860</xdr:rowOff>
    </xdr:from>
    <xdr:to>
      <xdr:col>6</xdr:col>
      <xdr:colOff>301156</xdr:colOff>
      <xdr:row>1</xdr:row>
      <xdr:rowOff>334287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04114F-2BFB-428B-9F39-F1F72083BFF7}"/>
            </a:ext>
          </a:extLst>
        </xdr:cNvPr>
        <xdr:cNvSpPr/>
      </xdr:nvSpPr>
      <xdr:spPr>
        <a:xfrm>
          <a:off x="10401300" y="205740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6</xdr:col>
      <xdr:colOff>362778</xdr:colOff>
      <xdr:row>1</xdr:row>
      <xdr:rowOff>22860</xdr:rowOff>
    </xdr:from>
    <xdr:to>
      <xdr:col>9</xdr:col>
      <xdr:colOff>321034</xdr:colOff>
      <xdr:row>1</xdr:row>
      <xdr:rowOff>334287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020FC2-2EDD-4A3D-AC55-009B1EB0C0BB}"/>
            </a:ext>
          </a:extLst>
        </xdr:cNvPr>
        <xdr:cNvSpPr/>
      </xdr:nvSpPr>
      <xdr:spPr>
        <a:xfrm>
          <a:off x="12249978" y="205740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891540</xdr:colOff>
      <xdr:row>1</xdr:row>
      <xdr:rowOff>22860</xdr:rowOff>
    </xdr:from>
    <xdr:to>
      <xdr:col>6</xdr:col>
      <xdr:colOff>1146976</xdr:colOff>
      <xdr:row>1</xdr:row>
      <xdr:rowOff>334287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50BCAB-361C-4C3E-AB6D-437837D0BE08}"/>
            </a:ext>
          </a:extLst>
        </xdr:cNvPr>
        <xdr:cNvSpPr/>
      </xdr:nvSpPr>
      <xdr:spPr>
        <a:xfrm>
          <a:off x="8602980" y="205740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6</xdr:col>
      <xdr:colOff>1208598</xdr:colOff>
      <xdr:row>1</xdr:row>
      <xdr:rowOff>22860</xdr:rowOff>
    </xdr:from>
    <xdr:to>
      <xdr:col>8</xdr:col>
      <xdr:colOff>481054</xdr:colOff>
      <xdr:row>1</xdr:row>
      <xdr:rowOff>334287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258222B-5D58-4DE8-B6A4-FB5384F42E72}"/>
            </a:ext>
          </a:extLst>
        </xdr:cNvPr>
        <xdr:cNvSpPr/>
      </xdr:nvSpPr>
      <xdr:spPr>
        <a:xfrm>
          <a:off x="10451658" y="205740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8</xdr:col>
      <xdr:colOff>542676</xdr:colOff>
      <xdr:row>1</xdr:row>
      <xdr:rowOff>29486</xdr:rowOff>
    </xdr:from>
    <xdr:to>
      <xdr:col>11</xdr:col>
      <xdr:colOff>500932</xdr:colOff>
      <xdr:row>1</xdr:row>
      <xdr:rowOff>340913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BFBFCFC-3D32-47CF-9926-4C40B7320002}"/>
            </a:ext>
          </a:extLst>
        </xdr:cNvPr>
        <xdr:cNvSpPr/>
      </xdr:nvSpPr>
      <xdr:spPr>
        <a:xfrm>
          <a:off x="12300336" y="212366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Controle</a:t>
          </a:r>
          <a:r>
            <a:rPr lang="pt-BR" sz="1100" baseline="0"/>
            <a:t> Mercadorias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1455420</xdr:colOff>
      <xdr:row>1</xdr:row>
      <xdr:rowOff>15240</xdr:rowOff>
    </xdr:from>
    <xdr:to>
      <xdr:col>5</xdr:col>
      <xdr:colOff>407836</xdr:colOff>
      <xdr:row>1</xdr:row>
      <xdr:rowOff>326667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6BFB4B-B661-481F-8067-056773FACA70}"/>
            </a:ext>
          </a:extLst>
        </xdr:cNvPr>
        <xdr:cNvSpPr/>
      </xdr:nvSpPr>
      <xdr:spPr>
        <a:xfrm>
          <a:off x="8633460" y="198120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5</xdr:col>
      <xdr:colOff>469458</xdr:colOff>
      <xdr:row>1</xdr:row>
      <xdr:rowOff>15240</xdr:rowOff>
    </xdr:from>
    <xdr:to>
      <xdr:col>8</xdr:col>
      <xdr:colOff>427714</xdr:colOff>
      <xdr:row>1</xdr:row>
      <xdr:rowOff>326667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8CF05ED-7D55-4821-9A53-C4EEA84B4A6C}"/>
            </a:ext>
          </a:extLst>
        </xdr:cNvPr>
        <xdr:cNvSpPr/>
      </xdr:nvSpPr>
      <xdr:spPr>
        <a:xfrm>
          <a:off x="10482138" y="198120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Despesas</a:t>
          </a:r>
        </a:p>
      </xdr:txBody>
    </xdr:sp>
    <xdr:clientData/>
  </xdr:twoCellAnchor>
  <xdr:twoCellAnchor>
    <xdr:from>
      <xdr:col>8</xdr:col>
      <xdr:colOff>496956</xdr:colOff>
      <xdr:row>1</xdr:row>
      <xdr:rowOff>21866</xdr:rowOff>
    </xdr:from>
    <xdr:to>
      <xdr:col>11</xdr:col>
      <xdr:colOff>455212</xdr:colOff>
      <xdr:row>1</xdr:row>
      <xdr:rowOff>333293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50C2C55-6276-440D-9357-4B002E95FD57}"/>
            </a:ext>
          </a:extLst>
        </xdr:cNvPr>
        <xdr:cNvSpPr/>
      </xdr:nvSpPr>
      <xdr:spPr>
        <a:xfrm>
          <a:off x="12338436" y="204746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845820</xdr:colOff>
      <xdr:row>6</xdr:row>
      <xdr:rowOff>57150</xdr:rowOff>
    </xdr:from>
    <xdr:to>
      <xdr:col>10</xdr:col>
      <xdr:colOff>838200</xdr:colOff>
      <xdr:row>21</xdr:row>
      <xdr:rowOff>7620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33A19C-E826-4495-A69D-7661296881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1059180</xdr:colOff>
      <xdr:row>27</xdr:row>
      <xdr:rowOff>26670</xdr:rowOff>
    </xdr:from>
    <xdr:to>
      <xdr:col>10</xdr:col>
      <xdr:colOff>1432560</xdr:colOff>
      <xdr:row>41</xdr:row>
      <xdr:rowOff>26670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5B88A8C-A8EC-431E-A511-F63F3E9C8F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160020</xdr:colOff>
      <xdr:row>1</xdr:row>
      <xdr:rowOff>22860</xdr:rowOff>
    </xdr:from>
    <xdr:to>
      <xdr:col>8</xdr:col>
      <xdr:colOff>857416</xdr:colOff>
      <xdr:row>1</xdr:row>
      <xdr:rowOff>334287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8A6F428-0DE1-4BE1-AB8F-199613EF1D8B}"/>
            </a:ext>
          </a:extLst>
        </xdr:cNvPr>
        <xdr:cNvSpPr/>
      </xdr:nvSpPr>
      <xdr:spPr>
        <a:xfrm>
          <a:off x="8572500" y="205740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8</xdr:col>
      <xdr:colOff>964758</xdr:colOff>
      <xdr:row>1</xdr:row>
      <xdr:rowOff>22860</xdr:rowOff>
    </xdr:from>
    <xdr:to>
      <xdr:col>10</xdr:col>
      <xdr:colOff>412474</xdr:colOff>
      <xdr:row>1</xdr:row>
      <xdr:rowOff>334287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71D5E6-EC2A-4422-BF68-FF13EC149C1D}"/>
            </a:ext>
          </a:extLst>
        </xdr:cNvPr>
        <xdr:cNvSpPr/>
      </xdr:nvSpPr>
      <xdr:spPr>
        <a:xfrm>
          <a:off x="10466898" y="205740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Resultados</a:t>
          </a:r>
        </a:p>
      </xdr:txBody>
    </xdr:sp>
    <xdr:clientData/>
  </xdr:twoCellAnchor>
  <xdr:twoCellAnchor>
    <xdr:from>
      <xdr:col>10</xdr:col>
      <xdr:colOff>519816</xdr:colOff>
      <xdr:row>1</xdr:row>
      <xdr:rowOff>29486</xdr:rowOff>
    </xdr:from>
    <xdr:to>
      <xdr:col>12</xdr:col>
      <xdr:colOff>104692</xdr:colOff>
      <xdr:row>1</xdr:row>
      <xdr:rowOff>340913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031C0D-8CCC-4F16-BE79-10A9BF9C7519}"/>
            </a:ext>
          </a:extLst>
        </xdr:cNvPr>
        <xdr:cNvSpPr/>
      </xdr:nvSpPr>
      <xdr:spPr>
        <a:xfrm>
          <a:off x="12361296" y="212366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Ir</a:t>
          </a:r>
          <a:r>
            <a:rPr lang="pt-BR" sz="1100" baseline="0"/>
            <a:t> para Semanas</a:t>
          </a:r>
          <a:endParaRPr lang="pt-BR" sz="1100"/>
        </a:p>
      </xdr:txBody>
    </xdr:sp>
    <xdr:clientData/>
  </xdr:twoCellAnchor>
  <xdr:twoCellAnchor>
    <xdr:from>
      <xdr:col>5</xdr:col>
      <xdr:colOff>678180</xdr:colOff>
      <xdr:row>45</xdr:row>
      <xdr:rowOff>129540</xdr:rowOff>
    </xdr:from>
    <xdr:to>
      <xdr:col>9</xdr:col>
      <xdr:colOff>1242060</xdr:colOff>
      <xdr:row>59</xdr:row>
      <xdr:rowOff>41910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323997A-029C-4CE6-8077-D03E43B68F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457200</xdr:colOff>
      <xdr:row>63</xdr:row>
      <xdr:rowOff>0</xdr:rowOff>
    </xdr:from>
    <xdr:to>
      <xdr:col>2</xdr:col>
      <xdr:colOff>1116496</xdr:colOff>
      <xdr:row>64</xdr:row>
      <xdr:rowOff>128547</xdr:rowOff>
    </xdr:to>
    <xdr:sp macro="" textlink="">
      <xdr:nvSpPr>
        <xdr:cNvPr id="8" name="Retângulo: Cantos Arredondados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6F6C590-B759-455C-B562-2E65FCBF6FEC}"/>
            </a:ext>
          </a:extLst>
        </xdr:cNvPr>
        <xdr:cNvSpPr/>
      </xdr:nvSpPr>
      <xdr:spPr>
        <a:xfrm>
          <a:off x="1066800" y="12900660"/>
          <a:ext cx="1787056" cy="311427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Semana</a:t>
          </a:r>
          <a:r>
            <a:rPr lang="pt-BR" sz="1100" baseline="0">
              <a:solidFill>
                <a:srgbClr val="46E307"/>
              </a:solidFill>
            </a:rPr>
            <a:t> 1</a:t>
          </a:r>
        </a:p>
      </xdr:txBody>
    </xdr:sp>
    <xdr:clientData/>
  </xdr:twoCellAnchor>
  <xdr:twoCellAnchor>
    <xdr:from>
      <xdr:col>2</xdr:col>
      <xdr:colOff>1493520</xdr:colOff>
      <xdr:row>63</xdr:row>
      <xdr:rowOff>15240</xdr:rowOff>
    </xdr:from>
    <xdr:to>
      <xdr:col>3</xdr:col>
      <xdr:colOff>1352716</xdr:colOff>
      <xdr:row>64</xdr:row>
      <xdr:rowOff>143787</xdr:rowOff>
    </xdr:to>
    <xdr:sp macro="" textlink="">
      <xdr:nvSpPr>
        <xdr:cNvPr id="9" name="Retângulo: Cantos Arredondados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25CD9FC-212D-4748-9421-4C7F574D0774}"/>
            </a:ext>
          </a:extLst>
        </xdr:cNvPr>
        <xdr:cNvSpPr/>
      </xdr:nvSpPr>
      <xdr:spPr>
        <a:xfrm>
          <a:off x="3230880" y="12915900"/>
          <a:ext cx="1787056" cy="311427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Semana</a:t>
          </a:r>
          <a:r>
            <a:rPr lang="pt-BR" sz="1100" baseline="0">
              <a:solidFill>
                <a:srgbClr val="46E307"/>
              </a:solidFill>
            </a:rPr>
            <a:t> 2</a:t>
          </a:r>
        </a:p>
      </xdr:txBody>
    </xdr:sp>
    <xdr:clientData/>
  </xdr:twoCellAnchor>
  <xdr:twoCellAnchor>
    <xdr:from>
      <xdr:col>4</xdr:col>
      <xdr:colOff>274320</xdr:colOff>
      <xdr:row>63</xdr:row>
      <xdr:rowOff>38100</xdr:rowOff>
    </xdr:from>
    <xdr:to>
      <xdr:col>5</xdr:col>
      <xdr:colOff>971716</xdr:colOff>
      <xdr:row>64</xdr:row>
      <xdr:rowOff>166647</xdr:rowOff>
    </xdr:to>
    <xdr:sp macro="" textlink="">
      <xdr:nvSpPr>
        <xdr:cNvPr id="10" name="Retângulo: Cantos Arredondados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AD8E8D9-C93C-4B61-903B-96F49095F1D0}"/>
            </a:ext>
          </a:extLst>
        </xdr:cNvPr>
        <xdr:cNvSpPr/>
      </xdr:nvSpPr>
      <xdr:spPr>
        <a:xfrm>
          <a:off x="5417820" y="12938760"/>
          <a:ext cx="1787056" cy="311427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Semana</a:t>
          </a:r>
          <a:r>
            <a:rPr lang="pt-BR" sz="1100" baseline="0">
              <a:solidFill>
                <a:srgbClr val="46E307"/>
              </a:solidFill>
            </a:rPr>
            <a:t> 3</a:t>
          </a:r>
        </a:p>
      </xdr:txBody>
    </xdr:sp>
    <xdr:clientData/>
  </xdr:twoCellAnchor>
  <xdr:twoCellAnchor>
    <xdr:from>
      <xdr:col>6</xdr:col>
      <xdr:colOff>274320</xdr:colOff>
      <xdr:row>63</xdr:row>
      <xdr:rowOff>15240</xdr:rowOff>
    </xdr:from>
    <xdr:to>
      <xdr:col>7</xdr:col>
      <xdr:colOff>971716</xdr:colOff>
      <xdr:row>64</xdr:row>
      <xdr:rowOff>143787</xdr:rowOff>
    </xdr:to>
    <xdr:sp macro="" textlink="">
      <xdr:nvSpPr>
        <xdr:cNvPr id="11" name="Retângulo: Cantos Arredondados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36C8A8D-5C2C-4368-ABDD-8AA3317F2ACF}"/>
            </a:ext>
          </a:extLst>
        </xdr:cNvPr>
        <xdr:cNvSpPr/>
      </xdr:nvSpPr>
      <xdr:spPr>
        <a:xfrm>
          <a:off x="7597140" y="12915900"/>
          <a:ext cx="1787056" cy="311427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Semana</a:t>
          </a:r>
          <a:r>
            <a:rPr lang="pt-BR" sz="1100" baseline="0">
              <a:solidFill>
                <a:srgbClr val="46E307"/>
              </a:solidFill>
            </a:rPr>
            <a:t> 4</a:t>
          </a:r>
        </a:p>
      </xdr:txBody>
    </xdr:sp>
    <xdr:clientData/>
  </xdr:twoCellAnchor>
  <xdr:twoCellAnchor>
    <xdr:from>
      <xdr:col>8</xdr:col>
      <xdr:colOff>342900</xdr:colOff>
      <xdr:row>63</xdr:row>
      <xdr:rowOff>0</xdr:rowOff>
    </xdr:from>
    <xdr:to>
      <xdr:col>9</xdr:col>
      <xdr:colOff>1040296</xdr:colOff>
      <xdr:row>64</xdr:row>
      <xdr:rowOff>128547</xdr:rowOff>
    </xdr:to>
    <xdr:sp macro="" textlink="">
      <xdr:nvSpPr>
        <xdr:cNvPr id="12" name="Retângulo: Cantos Arredondados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5A6D628-9BA3-4494-850C-4BCDECF816DC}"/>
            </a:ext>
          </a:extLst>
        </xdr:cNvPr>
        <xdr:cNvSpPr/>
      </xdr:nvSpPr>
      <xdr:spPr>
        <a:xfrm>
          <a:off x="9845040" y="12900660"/>
          <a:ext cx="1787056" cy="311427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Semana</a:t>
          </a:r>
          <a:r>
            <a:rPr lang="pt-BR" sz="1100" baseline="0">
              <a:solidFill>
                <a:srgbClr val="46E307"/>
              </a:solidFill>
            </a:rPr>
            <a:t> 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4</xdr:row>
      <xdr:rowOff>7620</xdr:rowOff>
    </xdr:from>
    <xdr:to>
      <xdr:col>0</xdr:col>
      <xdr:colOff>1264920</xdr:colOff>
      <xdr:row>6</xdr:row>
      <xdr:rowOff>60960</xdr:rowOff>
    </xdr:to>
    <xdr:sp macro="[0]!excluir_regi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2422B34-107A-40E6-A46C-E4F2AC997F01}"/>
            </a:ext>
          </a:extLst>
        </xdr:cNvPr>
        <xdr:cNvSpPr/>
      </xdr:nvSpPr>
      <xdr:spPr>
        <a:xfrm>
          <a:off x="22860" y="1158240"/>
          <a:ext cx="1242060" cy="419100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Excluir Registro</a:t>
          </a:r>
        </a:p>
      </xdr:txBody>
    </xdr:sp>
    <xdr:clientData/>
  </xdr:twoCellAnchor>
  <xdr:twoCellAnchor>
    <xdr:from>
      <xdr:col>0</xdr:col>
      <xdr:colOff>38100</xdr:colOff>
      <xdr:row>6</xdr:row>
      <xdr:rowOff>167640</xdr:rowOff>
    </xdr:from>
    <xdr:to>
      <xdr:col>0</xdr:col>
      <xdr:colOff>1280160</xdr:colOff>
      <xdr:row>9</xdr:row>
      <xdr:rowOff>38100</xdr:rowOff>
    </xdr:to>
    <xdr:sp macro="[0]!nova_vend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580F885-F007-412B-AF28-DA99EE5255C7}"/>
            </a:ext>
          </a:extLst>
        </xdr:cNvPr>
        <xdr:cNvSpPr/>
      </xdr:nvSpPr>
      <xdr:spPr>
        <a:xfrm>
          <a:off x="38100" y="1684020"/>
          <a:ext cx="1242060" cy="419100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Nova</a:t>
          </a:r>
          <a:r>
            <a:rPr lang="pt-BR" sz="1100" baseline="0">
              <a:solidFill>
                <a:srgbClr val="46E307"/>
              </a:solidFill>
            </a:rPr>
            <a:t> Venda</a:t>
          </a:r>
          <a:endParaRPr lang="pt-BR" sz="1100">
            <a:solidFill>
              <a:srgbClr val="46E307"/>
            </a:solidFill>
          </a:endParaRPr>
        </a:p>
      </xdr:txBody>
    </xdr:sp>
    <xdr:clientData/>
  </xdr:twoCellAnchor>
  <xdr:twoCellAnchor>
    <xdr:from>
      <xdr:col>0</xdr:col>
      <xdr:colOff>45720</xdr:colOff>
      <xdr:row>9</xdr:row>
      <xdr:rowOff>152400</xdr:rowOff>
    </xdr:from>
    <xdr:to>
      <xdr:col>0</xdr:col>
      <xdr:colOff>1287780</xdr:colOff>
      <xdr:row>12</xdr:row>
      <xdr:rowOff>22860</xdr:rowOff>
    </xdr:to>
    <xdr:sp macro="[0]!inserir_produ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F0AB8CF5-E500-4F53-893F-3CB292DEB223}"/>
            </a:ext>
          </a:extLst>
        </xdr:cNvPr>
        <xdr:cNvSpPr/>
      </xdr:nvSpPr>
      <xdr:spPr>
        <a:xfrm>
          <a:off x="45720" y="2217420"/>
          <a:ext cx="1242060" cy="419100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Inserir</a:t>
          </a:r>
          <a:r>
            <a:rPr lang="pt-BR" sz="1100" baseline="0">
              <a:solidFill>
                <a:srgbClr val="46E307"/>
              </a:solidFill>
            </a:rPr>
            <a:t> Produto</a:t>
          </a:r>
          <a:endParaRPr lang="pt-BR" sz="1100">
            <a:solidFill>
              <a:srgbClr val="46E307"/>
            </a:solidFill>
          </a:endParaRPr>
        </a:p>
      </xdr:txBody>
    </xdr:sp>
    <xdr:clientData/>
  </xdr:twoCellAnchor>
  <xdr:twoCellAnchor>
    <xdr:from>
      <xdr:col>7</xdr:col>
      <xdr:colOff>362778</xdr:colOff>
      <xdr:row>1</xdr:row>
      <xdr:rowOff>22860</xdr:rowOff>
    </xdr:from>
    <xdr:to>
      <xdr:col>9</xdr:col>
      <xdr:colOff>671554</xdr:colOff>
      <xdr:row>1</xdr:row>
      <xdr:rowOff>334287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F69D0E-4CCF-43A7-B9A1-EB27A65BC02C}"/>
            </a:ext>
          </a:extLst>
        </xdr:cNvPr>
        <xdr:cNvSpPr/>
      </xdr:nvSpPr>
      <xdr:spPr>
        <a:xfrm>
          <a:off x="8653338" y="205740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9</xdr:col>
      <xdr:colOff>733176</xdr:colOff>
      <xdr:row>1</xdr:row>
      <xdr:rowOff>29486</xdr:rowOff>
    </xdr:from>
    <xdr:to>
      <xdr:col>11</xdr:col>
      <xdr:colOff>516172</xdr:colOff>
      <xdr:row>1</xdr:row>
      <xdr:rowOff>340913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355FFE1-7ADC-4F41-9CF7-1B2D8EC28A9E}"/>
            </a:ext>
          </a:extLst>
        </xdr:cNvPr>
        <xdr:cNvSpPr/>
      </xdr:nvSpPr>
      <xdr:spPr>
        <a:xfrm>
          <a:off x="10502016" y="212366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11</xdr:col>
      <xdr:colOff>568518</xdr:colOff>
      <xdr:row>1</xdr:row>
      <xdr:rowOff>30480</xdr:rowOff>
    </xdr:from>
    <xdr:to>
      <xdr:col>12</xdr:col>
      <xdr:colOff>1166854</xdr:colOff>
      <xdr:row>1</xdr:row>
      <xdr:rowOff>341907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2316D5-8506-4DC4-8A27-7514B4ED6859}"/>
            </a:ext>
          </a:extLst>
        </xdr:cNvPr>
        <xdr:cNvSpPr/>
      </xdr:nvSpPr>
      <xdr:spPr>
        <a:xfrm>
          <a:off x="12341418" y="213360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Análise</a:t>
          </a:r>
          <a:r>
            <a:rPr lang="pt-BR" sz="1100" baseline="0"/>
            <a:t> Semana 1</a:t>
          </a:r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10</xdr:row>
      <xdr:rowOff>30480</xdr:rowOff>
    </xdr:from>
    <xdr:to>
      <xdr:col>7</xdr:col>
      <xdr:colOff>644056</xdr:colOff>
      <xdr:row>11</xdr:row>
      <xdr:rowOff>159027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B81E7C-F208-4D43-91ED-E6542BB8846A}"/>
            </a:ext>
          </a:extLst>
        </xdr:cNvPr>
        <xdr:cNvSpPr/>
      </xdr:nvSpPr>
      <xdr:spPr>
        <a:xfrm>
          <a:off x="6035040" y="1859280"/>
          <a:ext cx="1787056" cy="311427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Semana</a:t>
          </a:r>
          <a:r>
            <a:rPr lang="pt-BR" sz="1100" baseline="0">
              <a:solidFill>
                <a:srgbClr val="46E307"/>
              </a:solidFill>
            </a:rPr>
            <a:t> 1</a:t>
          </a:r>
          <a:endParaRPr lang="pt-BR" sz="1100">
            <a:solidFill>
              <a:srgbClr val="46E307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220980</xdr:colOff>
      <xdr:row>4</xdr:row>
      <xdr:rowOff>0</xdr:rowOff>
    </xdr:from>
    <xdr:to>
      <xdr:col>0</xdr:col>
      <xdr:colOff>1463040</xdr:colOff>
      <xdr:row>6</xdr:row>
      <xdr:rowOff>53340</xdr:rowOff>
    </xdr:to>
    <xdr:sp macro="[0]!excluir_regi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FC12DC-B6EE-49B2-88A1-A76F7918FAF1}"/>
            </a:ext>
          </a:extLst>
        </xdr:cNvPr>
        <xdr:cNvSpPr/>
      </xdr:nvSpPr>
      <xdr:spPr>
        <a:xfrm>
          <a:off x="220980" y="1150620"/>
          <a:ext cx="1242060" cy="419100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Excluir Registro</a:t>
          </a:r>
        </a:p>
      </xdr:txBody>
    </xdr:sp>
    <xdr:clientData/>
  </xdr:twoCellAnchor>
  <xdr:twoCellAnchor>
    <xdr:from>
      <xdr:col>0</xdr:col>
      <xdr:colOff>236220</xdr:colOff>
      <xdr:row>6</xdr:row>
      <xdr:rowOff>160020</xdr:rowOff>
    </xdr:from>
    <xdr:to>
      <xdr:col>0</xdr:col>
      <xdr:colOff>1478280</xdr:colOff>
      <xdr:row>9</xdr:row>
      <xdr:rowOff>30480</xdr:rowOff>
    </xdr:to>
    <xdr:sp macro="[0]!nova_vend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C9F83F4-C96C-45D4-A1E7-3BA6D9B44546}"/>
            </a:ext>
          </a:extLst>
        </xdr:cNvPr>
        <xdr:cNvSpPr/>
      </xdr:nvSpPr>
      <xdr:spPr>
        <a:xfrm>
          <a:off x="236220" y="1676400"/>
          <a:ext cx="1242060" cy="419100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Nova</a:t>
          </a:r>
          <a:r>
            <a:rPr lang="pt-BR" sz="1100" baseline="0">
              <a:solidFill>
                <a:srgbClr val="46E307"/>
              </a:solidFill>
            </a:rPr>
            <a:t> Venda</a:t>
          </a:r>
          <a:endParaRPr lang="pt-BR" sz="1100">
            <a:solidFill>
              <a:srgbClr val="46E307"/>
            </a:solidFill>
          </a:endParaRPr>
        </a:p>
      </xdr:txBody>
    </xdr:sp>
    <xdr:clientData/>
  </xdr:twoCellAnchor>
  <xdr:twoCellAnchor>
    <xdr:from>
      <xdr:col>0</xdr:col>
      <xdr:colOff>243840</xdr:colOff>
      <xdr:row>9</xdr:row>
      <xdr:rowOff>144780</xdr:rowOff>
    </xdr:from>
    <xdr:to>
      <xdr:col>0</xdr:col>
      <xdr:colOff>1485900</xdr:colOff>
      <xdr:row>12</xdr:row>
      <xdr:rowOff>15240</xdr:rowOff>
    </xdr:to>
    <xdr:sp macro="[0]!inserir_produ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6854947-FA51-49AC-BCBF-9282EC59D9F3}"/>
            </a:ext>
          </a:extLst>
        </xdr:cNvPr>
        <xdr:cNvSpPr/>
      </xdr:nvSpPr>
      <xdr:spPr>
        <a:xfrm>
          <a:off x="243840" y="2209800"/>
          <a:ext cx="1242060" cy="419100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Inserir</a:t>
          </a:r>
          <a:r>
            <a:rPr lang="pt-BR" sz="1100" baseline="0">
              <a:solidFill>
                <a:srgbClr val="46E307"/>
              </a:solidFill>
            </a:rPr>
            <a:t> Produto</a:t>
          </a:r>
          <a:endParaRPr lang="pt-BR" sz="1100">
            <a:solidFill>
              <a:srgbClr val="46E307"/>
            </a:solidFill>
          </a:endParaRPr>
        </a:p>
      </xdr:txBody>
    </xdr:sp>
    <xdr:clientData/>
  </xdr:twoCellAnchor>
  <xdr:twoCellAnchor>
    <xdr:from>
      <xdr:col>7</xdr:col>
      <xdr:colOff>518160</xdr:colOff>
      <xdr:row>1</xdr:row>
      <xdr:rowOff>15240</xdr:rowOff>
    </xdr:from>
    <xdr:to>
      <xdr:col>10</xdr:col>
      <xdr:colOff>49696</xdr:colOff>
      <xdr:row>1</xdr:row>
      <xdr:rowOff>326667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1019AC-A366-4E4C-9156-C4817F026AFF}"/>
            </a:ext>
          </a:extLst>
        </xdr:cNvPr>
        <xdr:cNvSpPr/>
      </xdr:nvSpPr>
      <xdr:spPr>
        <a:xfrm>
          <a:off x="8610600" y="198120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111318</xdr:colOff>
      <xdr:row>1</xdr:row>
      <xdr:rowOff>21866</xdr:rowOff>
    </xdr:from>
    <xdr:to>
      <xdr:col>11</xdr:col>
      <xdr:colOff>709654</xdr:colOff>
      <xdr:row>1</xdr:row>
      <xdr:rowOff>333293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42CE9A9-39C8-4539-9FD9-11FCFE1560B1}"/>
            </a:ext>
          </a:extLst>
        </xdr:cNvPr>
        <xdr:cNvSpPr/>
      </xdr:nvSpPr>
      <xdr:spPr>
        <a:xfrm>
          <a:off x="10459278" y="204746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11</xdr:col>
      <xdr:colOff>766638</xdr:colOff>
      <xdr:row>1</xdr:row>
      <xdr:rowOff>14246</xdr:rowOff>
    </xdr:from>
    <xdr:to>
      <xdr:col>13</xdr:col>
      <xdr:colOff>16234</xdr:colOff>
      <xdr:row>1</xdr:row>
      <xdr:rowOff>325673</xdr:rowOff>
    </xdr:to>
    <xdr:sp macro="" textlink="">
      <xdr:nvSpPr>
        <xdr:cNvPr id="9" name="Retângulo: Cantos Arredondado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464D05-BBDE-4A8E-A790-A73730BE99FA}"/>
            </a:ext>
          </a:extLst>
        </xdr:cNvPr>
        <xdr:cNvSpPr/>
      </xdr:nvSpPr>
      <xdr:spPr>
        <a:xfrm>
          <a:off x="12303318" y="197126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Análise</a:t>
          </a:r>
          <a:r>
            <a:rPr lang="pt-BR" sz="1100" baseline="0"/>
            <a:t> Semana 2</a:t>
          </a:r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396240</xdr:colOff>
      <xdr:row>8</xdr:row>
      <xdr:rowOff>99060</xdr:rowOff>
    </xdr:from>
    <xdr:to>
      <xdr:col>7</xdr:col>
      <xdr:colOff>887896</xdr:colOff>
      <xdr:row>10</xdr:row>
      <xdr:rowOff>44727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4A428C-9323-4E22-A3A1-B75C0EED5494}"/>
            </a:ext>
          </a:extLst>
        </xdr:cNvPr>
        <xdr:cNvSpPr/>
      </xdr:nvSpPr>
      <xdr:spPr>
        <a:xfrm>
          <a:off x="6172200" y="1562100"/>
          <a:ext cx="1787056" cy="311427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Semana</a:t>
          </a:r>
          <a:r>
            <a:rPr lang="pt-BR" sz="1100" baseline="0">
              <a:solidFill>
                <a:srgbClr val="46E307"/>
              </a:solidFill>
            </a:rPr>
            <a:t> 2</a:t>
          </a:r>
          <a:endParaRPr lang="pt-BR" sz="1100">
            <a:solidFill>
              <a:srgbClr val="46E307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4</xdr:row>
      <xdr:rowOff>30480</xdr:rowOff>
    </xdr:from>
    <xdr:to>
      <xdr:col>0</xdr:col>
      <xdr:colOff>1432560</xdr:colOff>
      <xdr:row>6</xdr:row>
      <xdr:rowOff>83820</xdr:rowOff>
    </xdr:to>
    <xdr:sp macro="[0]!excluir_registr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A52FB63-E44E-43DF-AFB1-40D8EA482FCC}"/>
            </a:ext>
          </a:extLst>
        </xdr:cNvPr>
        <xdr:cNvSpPr/>
      </xdr:nvSpPr>
      <xdr:spPr>
        <a:xfrm>
          <a:off x="190500" y="1181100"/>
          <a:ext cx="1242060" cy="419100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Excluir Registro</a:t>
          </a:r>
        </a:p>
      </xdr:txBody>
    </xdr:sp>
    <xdr:clientData/>
  </xdr:twoCellAnchor>
  <xdr:twoCellAnchor>
    <xdr:from>
      <xdr:col>0</xdr:col>
      <xdr:colOff>205740</xdr:colOff>
      <xdr:row>7</xdr:row>
      <xdr:rowOff>7620</xdr:rowOff>
    </xdr:from>
    <xdr:to>
      <xdr:col>0</xdr:col>
      <xdr:colOff>1447800</xdr:colOff>
      <xdr:row>9</xdr:row>
      <xdr:rowOff>60960</xdr:rowOff>
    </xdr:to>
    <xdr:sp macro="[0]!nova_ven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AE1CF385-F02E-4450-BC78-5DE37235A8F8}"/>
            </a:ext>
          </a:extLst>
        </xdr:cNvPr>
        <xdr:cNvSpPr/>
      </xdr:nvSpPr>
      <xdr:spPr>
        <a:xfrm>
          <a:off x="205740" y="1706880"/>
          <a:ext cx="1242060" cy="419100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Nova</a:t>
          </a:r>
          <a:r>
            <a:rPr lang="pt-BR" sz="1100" baseline="0">
              <a:solidFill>
                <a:srgbClr val="46E307"/>
              </a:solidFill>
            </a:rPr>
            <a:t> Venda</a:t>
          </a:r>
          <a:endParaRPr lang="pt-BR" sz="1100">
            <a:solidFill>
              <a:srgbClr val="46E307"/>
            </a:solidFill>
          </a:endParaRPr>
        </a:p>
      </xdr:txBody>
    </xdr:sp>
    <xdr:clientData/>
  </xdr:twoCellAnchor>
  <xdr:twoCellAnchor>
    <xdr:from>
      <xdr:col>0</xdr:col>
      <xdr:colOff>213360</xdr:colOff>
      <xdr:row>9</xdr:row>
      <xdr:rowOff>175260</xdr:rowOff>
    </xdr:from>
    <xdr:to>
      <xdr:col>0</xdr:col>
      <xdr:colOff>1455420</xdr:colOff>
      <xdr:row>12</xdr:row>
      <xdr:rowOff>45720</xdr:rowOff>
    </xdr:to>
    <xdr:sp macro="[0]!inserir_produt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70DA7BE-E500-40D9-8850-14525C9AE228}"/>
            </a:ext>
          </a:extLst>
        </xdr:cNvPr>
        <xdr:cNvSpPr/>
      </xdr:nvSpPr>
      <xdr:spPr>
        <a:xfrm>
          <a:off x="213360" y="2240280"/>
          <a:ext cx="1242060" cy="419100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Inserir</a:t>
          </a:r>
          <a:r>
            <a:rPr lang="pt-BR" sz="1100" baseline="0">
              <a:solidFill>
                <a:srgbClr val="46E307"/>
              </a:solidFill>
            </a:rPr>
            <a:t> Produto</a:t>
          </a:r>
          <a:endParaRPr lang="pt-BR" sz="1100">
            <a:solidFill>
              <a:srgbClr val="46E307"/>
            </a:solidFill>
          </a:endParaRPr>
        </a:p>
      </xdr:txBody>
    </xdr:sp>
    <xdr:clientData/>
  </xdr:twoCellAnchor>
  <xdr:twoCellAnchor>
    <xdr:from>
      <xdr:col>8</xdr:col>
      <xdr:colOff>7620</xdr:colOff>
      <xdr:row>1</xdr:row>
      <xdr:rowOff>7620</xdr:rowOff>
    </xdr:from>
    <xdr:to>
      <xdr:col>10</xdr:col>
      <xdr:colOff>331636</xdr:colOff>
      <xdr:row>1</xdr:row>
      <xdr:rowOff>319047</xdr:rowOff>
    </xdr:to>
    <xdr:sp macro="" textlink="">
      <xdr:nvSpPr>
        <xdr:cNvPr id="8" name="Retângulo: Cantos Arredondados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3A0987-EA31-4F01-91B2-3C85CCF9862D}"/>
            </a:ext>
          </a:extLst>
        </xdr:cNvPr>
        <xdr:cNvSpPr/>
      </xdr:nvSpPr>
      <xdr:spPr>
        <a:xfrm>
          <a:off x="8732520" y="190500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393258</xdr:colOff>
      <xdr:row>1</xdr:row>
      <xdr:rowOff>14246</xdr:rowOff>
    </xdr:from>
    <xdr:to>
      <xdr:col>11</xdr:col>
      <xdr:colOff>991594</xdr:colOff>
      <xdr:row>1</xdr:row>
      <xdr:rowOff>325673</xdr:rowOff>
    </xdr:to>
    <xdr:sp macro="" textlink="">
      <xdr:nvSpPr>
        <xdr:cNvPr id="9" name="Retângulo: Cantos Arredondado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9750490-8503-4920-8AAF-A0E152C4F60D}"/>
            </a:ext>
          </a:extLst>
        </xdr:cNvPr>
        <xdr:cNvSpPr/>
      </xdr:nvSpPr>
      <xdr:spPr>
        <a:xfrm>
          <a:off x="10581198" y="197126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11</xdr:col>
      <xdr:colOff>1059180</xdr:colOff>
      <xdr:row>1</xdr:row>
      <xdr:rowOff>22860</xdr:rowOff>
    </xdr:from>
    <xdr:to>
      <xdr:col>13</xdr:col>
      <xdr:colOff>308776</xdr:colOff>
      <xdr:row>1</xdr:row>
      <xdr:rowOff>334287</xdr:rowOff>
    </xdr:to>
    <xdr:sp macro="" textlink="">
      <xdr:nvSpPr>
        <xdr:cNvPr id="10" name="Retângulo: Cantos Arredondado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ABD2DA3-C52B-4224-92E8-B4D57A040340}"/>
            </a:ext>
          </a:extLst>
        </xdr:cNvPr>
        <xdr:cNvSpPr/>
      </xdr:nvSpPr>
      <xdr:spPr>
        <a:xfrm>
          <a:off x="12435840" y="205740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Análise</a:t>
          </a:r>
          <a:r>
            <a:rPr lang="pt-BR" sz="1100" baseline="0"/>
            <a:t> Semana 3</a:t>
          </a:r>
          <a:endParaRPr lang="pt-B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563880</xdr:colOff>
      <xdr:row>7</xdr:row>
      <xdr:rowOff>45720</xdr:rowOff>
    </xdr:from>
    <xdr:to>
      <xdr:col>7</xdr:col>
      <xdr:colOff>1055536</xdr:colOff>
      <xdr:row>8</xdr:row>
      <xdr:rowOff>174267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FCAB8D-B0B5-45DE-957E-78FC2E0CA50A}"/>
            </a:ext>
          </a:extLst>
        </xdr:cNvPr>
        <xdr:cNvSpPr/>
      </xdr:nvSpPr>
      <xdr:spPr>
        <a:xfrm>
          <a:off x="6339840" y="1325880"/>
          <a:ext cx="1787056" cy="311427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Semana</a:t>
          </a:r>
          <a:r>
            <a:rPr lang="pt-BR" sz="1100" baseline="0">
              <a:solidFill>
                <a:srgbClr val="46E307"/>
              </a:solidFill>
            </a:rPr>
            <a:t> 3</a:t>
          </a:r>
          <a:endParaRPr lang="pt-BR" sz="1100">
            <a:solidFill>
              <a:srgbClr val="46E307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137160</xdr:colOff>
      <xdr:row>4</xdr:row>
      <xdr:rowOff>7620</xdr:rowOff>
    </xdr:from>
    <xdr:to>
      <xdr:col>0</xdr:col>
      <xdr:colOff>1379220</xdr:colOff>
      <xdr:row>6</xdr:row>
      <xdr:rowOff>60960</xdr:rowOff>
    </xdr:to>
    <xdr:sp macro="[0]!excluir_regi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7338C22-902E-48F7-AD92-8DAA298FBCBE}"/>
            </a:ext>
          </a:extLst>
        </xdr:cNvPr>
        <xdr:cNvSpPr/>
      </xdr:nvSpPr>
      <xdr:spPr>
        <a:xfrm>
          <a:off x="137160" y="1158240"/>
          <a:ext cx="1242060" cy="419100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Excluir Registro</a:t>
          </a:r>
        </a:p>
      </xdr:txBody>
    </xdr:sp>
    <xdr:clientData/>
  </xdr:twoCellAnchor>
  <xdr:twoCellAnchor>
    <xdr:from>
      <xdr:col>0</xdr:col>
      <xdr:colOff>152400</xdr:colOff>
      <xdr:row>6</xdr:row>
      <xdr:rowOff>167640</xdr:rowOff>
    </xdr:from>
    <xdr:to>
      <xdr:col>0</xdr:col>
      <xdr:colOff>1394460</xdr:colOff>
      <xdr:row>9</xdr:row>
      <xdr:rowOff>38100</xdr:rowOff>
    </xdr:to>
    <xdr:sp macro="[0]!nova_vend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66E42A-16C0-4BE8-96A2-3866709A56DE}"/>
            </a:ext>
          </a:extLst>
        </xdr:cNvPr>
        <xdr:cNvSpPr/>
      </xdr:nvSpPr>
      <xdr:spPr>
        <a:xfrm>
          <a:off x="152400" y="1684020"/>
          <a:ext cx="1242060" cy="419100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Nova</a:t>
          </a:r>
          <a:r>
            <a:rPr lang="pt-BR" sz="1100" baseline="0">
              <a:solidFill>
                <a:srgbClr val="46E307"/>
              </a:solidFill>
            </a:rPr>
            <a:t> Venda</a:t>
          </a:r>
          <a:endParaRPr lang="pt-BR" sz="1100">
            <a:solidFill>
              <a:srgbClr val="46E307"/>
            </a:solidFill>
          </a:endParaRPr>
        </a:p>
      </xdr:txBody>
    </xdr:sp>
    <xdr:clientData/>
  </xdr:twoCellAnchor>
  <xdr:twoCellAnchor>
    <xdr:from>
      <xdr:col>0</xdr:col>
      <xdr:colOff>160020</xdr:colOff>
      <xdr:row>9</xdr:row>
      <xdr:rowOff>152400</xdr:rowOff>
    </xdr:from>
    <xdr:to>
      <xdr:col>0</xdr:col>
      <xdr:colOff>1402080</xdr:colOff>
      <xdr:row>12</xdr:row>
      <xdr:rowOff>22860</xdr:rowOff>
    </xdr:to>
    <xdr:sp macro="[0]!inserir_produ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B64200E-369F-4C34-8395-82AD97C65301}"/>
            </a:ext>
          </a:extLst>
        </xdr:cNvPr>
        <xdr:cNvSpPr/>
      </xdr:nvSpPr>
      <xdr:spPr>
        <a:xfrm>
          <a:off x="160020" y="2217420"/>
          <a:ext cx="1242060" cy="419100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Inserir</a:t>
          </a:r>
          <a:r>
            <a:rPr lang="pt-BR" sz="1100" baseline="0">
              <a:solidFill>
                <a:srgbClr val="46E307"/>
              </a:solidFill>
            </a:rPr>
            <a:t> Produto</a:t>
          </a:r>
          <a:endParaRPr lang="pt-BR" sz="1100">
            <a:solidFill>
              <a:srgbClr val="46E307"/>
            </a:solidFill>
          </a:endParaRPr>
        </a:p>
      </xdr:txBody>
    </xdr:sp>
    <xdr:clientData/>
  </xdr:twoCellAnchor>
  <xdr:twoCellAnchor>
    <xdr:from>
      <xdr:col>7</xdr:col>
      <xdr:colOff>579120</xdr:colOff>
      <xdr:row>1</xdr:row>
      <xdr:rowOff>15240</xdr:rowOff>
    </xdr:from>
    <xdr:to>
      <xdr:col>10</xdr:col>
      <xdr:colOff>179236</xdr:colOff>
      <xdr:row>1</xdr:row>
      <xdr:rowOff>326667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FF2EB5-2457-4500-ADAD-A72BDA54192E}"/>
            </a:ext>
          </a:extLst>
        </xdr:cNvPr>
        <xdr:cNvSpPr/>
      </xdr:nvSpPr>
      <xdr:spPr>
        <a:xfrm>
          <a:off x="8481060" y="198120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240858</xdr:colOff>
      <xdr:row>1</xdr:row>
      <xdr:rowOff>21866</xdr:rowOff>
    </xdr:from>
    <xdr:to>
      <xdr:col>11</xdr:col>
      <xdr:colOff>839194</xdr:colOff>
      <xdr:row>1</xdr:row>
      <xdr:rowOff>333293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C35E1A6-F21D-4AAD-9E01-2380DE17DF52}"/>
            </a:ext>
          </a:extLst>
        </xdr:cNvPr>
        <xdr:cNvSpPr/>
      </xdr:nvSpPr>
      <xdr:spPr>
        <a:xfrm>
          <a:off x="10329738" y="204746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11</xdr:col>
      <xdr:colOff>922020</xdr:colOff>
      <xdr:row>1</xdr:row>
      <xdr:rowOff>22860</xdr:rowOff>
    </xdr:from>
    <xdr:to>
      <xdr:col>13</xdr:col>
      <xdr:colOff>171616</xdr:colOff>
      <xdr:row>1</xdr:row>
      <xdr:rowOff>334287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E4A1B93-3191-4FD9-9A4D-A8A9FB810449}"/>
            </a:ext>
          </a:extLst>
        </xdr:cNvPr>
        <xdr:cNvSpPr/>
      </xdr:nvSpPr>
      <xdr:spPr>
        <a:xfrm>
          <a:off x="12199620" y="205740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Análise</a:t>
          </a:r>
          <a:r>
            <a:rPr lang="pt-BR" sz="1100" baseline="0"/>
            <a:t> Semana 4</a:t>
          </a:r>
          <a:endParaRPr lang="pt-BR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312420</xdr:colOff>
      <xdr:row>6</xdr:row>
      <xdr:rowOff>114300</xdr:rowOff>
    </xdr:from>
    <xdr:to>
      <xdr:col>7</xdr:col>
      <xdr:colOff>804076</xdr:colOff>
      <xdr:row>8</xdr:row>
      <xdr:rowOff>59967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DD0378-FA82-4F52-A169-474FE1EC78C8}"/>
            </a:ext>
          </a:extLst>
        </xdr:cNvPr>
        <xdr:cNvSpPr/>
      </xdr:nvSpPr>
      <xdr:spPr>
        <a:xfrm>
          <a:off x="6088380" y="1211580"/>
          <a:ext cx="1787056" cy="311427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Semana</a:t>
          </a:r>
          <a:r>
            <a:rPr lang="pt-BR" sz="1100" baseline="0">
              <a:solidFill>
                <a:srgbClr val="46E307"/>
              </a:solidFill>
            </a:rPr>
            <a:t> 4</a:t>
          </a:r>
          <a:endParaRPr lang="pt-BR" sz="1100">
            <a:solidFill>
              <a:srgbClr val="46E307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3</xdr:row>
      <xdr:rowOff>160020</xdr:rowOff>
    </xdr:from>
    <xdr:to>
      <xdr:col>0</xdr:col>
      <xdr:colOff>1325880</xdr:colOff>
      <xdr:row>6</xdr:row>
      <xdr:rowOff>30480</xdr:rowOff>
    </xdr:to>
    <xdr:sp macro="[0]!excluir_regi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D014E9C-CB70-49BB-A5B4-B557E1B87AB6}"/>
            </a:ext>
          </a:extLst>
        </xdr:cNvPr>
        <xdr:cNvSpPr/>
      </xdr:nvSpPr>
      <xdr:spPr>
        <a:xfrm>
          <a:off x="83820" y="1127760"/>
          <a:ext cx="1242060" cy="419100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Excluir Registro</a:t>
          </a:r>
        </a:p>
      </xdr:txBody>
    </xdr:sp>
    <xdr:clientData/>
  </xdr:twoCellAnchor>
  <xdr:twoCellAnchor>
    <xdr:from>
      <xdr:col>0</xdr:col>
      <xdr:colOff>83820</xdr:colOff>
      <xdr:row>6</xdr:row>
      <xdr:rowOff>144780</xdr:rowOff>
    </xdr:from>
    <xdr:to>
      <xdr:col>0</xdr:col>
      <xdr:colOff>1325880</xdr:colOff>
      <xdr:row>9</xdr:row>
      <xdr:rowOff>0</xdr:rowOff>
    </xdr:to>
    <xdr:sp macro="[0]!nova_vend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344B0B-8C51-45EB-9021-F7FD97D2749D}"/>
            </a:ext>
          </a:extLst>
        </xdr:cNvPr>
        <xdr:cNvSpPr/>
      </xdr:nvSpPr>
      <xdr:spPr>
        <a:xfrm>
          <a:off x="83820" y="1661160"/>
          <a:ext cx="1242060" cy="403860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Nova</a:t>
          </a:r>
          <a:r>
            <a:rPr lang="pt-BR" sz="1100" baseline="0">
              <a:solidFill>
                <a:srgbClr val="46E307"/>
              </a:solidFill>
            </a:rPr>
            <a:t> Venda</a:t>
          </a:r>
          <a:endParaRPr lang="pt-BR" sz="1100">
            <a:solidFill>
              <a:srgbClr val="46E307"/>
            </a:solidFill>
          </a:endParaRPr>
        </a:p>
      </xdr:txBody>
    </xdr:sp>
    <xdr:clientData/>
  </xdr:twoCellAnchor>
  <xdr:twoCellAnchor>
    <xdr:from>
      <xdr:col>0</xdr:col>
      <xdr:colOff>99060</xdr:colOff>
      <xdr:row>9</xdr:row>
      <xdr:rowOff>137160</xdr:rowOff>
    </xdr:from>
    <xdr:to>
      <xdr:col>0</xdr:col>
      <xdr:colOff>1341120</xdr:colOff>
      <xdr:row>12</xdr:row>
      <xdr:rowOff>7620</xdr:rowOff>
    </xdr:to>
    <xdr:sp macro="[0]!inserir_produ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50B5359-68A4-4C66-BEFB-6DED4282101C}"/>
            </a:ext>
          </a:extLst>
        </xdr:cNvPr>
        <xdr:cNvSpPr/>
      </xdr:nvSpPr>
      <xdr:spPr>
        <a:xfrm>
          <a:off x="99060" y="2202180"/>
          <a:ext cx="1242060" cy="419100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Inserir</a:t>
          </a:r>
          <a:r>
            <a:rPr lang="pt-BR" sz="1100" baseline="0">
              <a:solidFill>
                <a:srgbClr val="46E307"/>
              </a:solidFill>
            </a:rPr>
            <a:t> Produto</a:t>
          </a:r>
          <a:endParaRPr lang="pt-BR" sz="1100">
            <a:solidFill>
              <a:srgbClr val="46E307"/>
            </a:solidFill>
          </a:endParaRPr>
        </a:p>
      </xdr:txBody>
    </xdr:sp>
    <xdr:clientData/>
  </xdr:twoCellAnchor>
  <xdr:twoCellAnchor>
    <xdr:from>
      <xdr:col>8</xdr:col>
      <xdr:colOff>106680</xdr:colOff>
      <xdr:row>1</xdr:row>
      <xdr:rowOff>15240</xdr:rowOff>
    </xdr:from>
    <xdr:to>
      <xdr:col>10</xdr:col>
      <xdr:colOff>430696</xdr:colOff>
      <xdr:row>1</xdr:row>
      <xdr:rowOff>326667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6B4A01-E3F3-4BF1-8BAF-309ABAC2D7F1}"/>
            </a:ext>
          </a:extLst>
        </xdr:cNvPr>
        <xdr:cNvSpPr/>
      </xdr:nvSpPr>
      <xdr:spPr>
        <a:xfrm>
          <a:off x="8641080" y="198120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492318</xdr:colOff>
      <xdr:row>1</xdr:row>
      <xdr:rowOff>21866</xdr:rowOff>
    </xdr:from>
    <xdr:to>
      <xdr:col>11</xdr:col>
      <xdr:colOff>1090654</xdr:colOff>
      <xdr:row>1</xdr:row>
      <xdr:rowOff>333293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37E40D9-D306-4F5F-BF2D-26BFEC655980}"/>
            </a:ext>
          </a:extLst>
        </xdr:cNvPr>
        <xdr:cNvSpPr/>
      </xdr:nvSpPr>
      <xdr:spPr>
        <a:xfrm>
          <a:off x="10489758" y="204746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11</xdr:col>
      <xdr:colOff>1158240</xdr:colOff>
      <xdr:row>1</xdr:row>
      <xdr:rowOff>30480</xdr:rowOff>
    </xdr:from>
    <xdr:to>
      <xdr:col>13</xdr:col>
      <xdr:colOff>407836</xdr:colOff>
      <xdr:row>1</xdr:row>
      <xdr:rowOff>341907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C7E8236-2F0E-427E-9926-7CEC5FF9E624}"/>
            </a:ext>
          </a:extLst>
        </xdr:cNvPr>
        <xdr:cNvSpPr/>
      </xdr:nvSpPr>
      <xdr:spPr>
        <a:xfrm>
          <a:off x="12344400" y="213360"/>
          <a:ext cx="1787056" cy="311427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Análise</a:t>
          </a:r>
          <a:r>
            <a:rPr lang="pt-BR" sz="1100" baseline="0"/>
            <a:t> Semana 5</a:t>
          </a:r>
          <a:endParaRPr lang="pt-B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358140</xdr:colOff>
      <xdr:row>6</xdr:row>
      <xdr:rowOff>137160</xdr:rowOff>
    </xdr:from>
    <xdr:to>
      <xdr:col>7</xdr:col>
      <xdr:colOff>849796</xdr:colOff>
      <xdr:row>8</xdr:row>
      <xdr:rowOff>82827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0D63BA-987F-4A37-9933-05329989044A}"/>
            </a:ext>
          </a:extLst>
        </xdr:cNvPr>
        <xdr:cNvSpPr/>
      </xdr:nvSpPr>
      <xdr:spPr>
        <a:xfrm>
          <a:off x="6134100" y="1234440"/>
          <a:ext cx="1787056" cy="311427"/>
        </a:xfrm>
        <a:prstGeom prst="roundRect">
          <a:avLst/>
        </a:prstGeom>
        <a:noFill/>
        <a:ln>
          <a:solidFill>
            <a:srgbClr val="46E30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46E307"/>
              </a:solidFill>
            </a:rPr>
            <a:t>Semana</a:t>
          </a:r>
          <a:r>
            <a:rPr lang="pt-BR" sz="1100" baseline="0">
              <a:solidFill>
                <a:srgbClr val="46E307"/>
              </a:solidFill>
            </a:rPr>
            <a:t> 5</a:t>
          </a:r>
          <a:endParaRPr lang="pt-BR" sz="1100">
            <a:solidFill>
              <a:srgbClr val="46E307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o" refreshedDate="46080.865829513888" createdVersion="7" refreshedVersion="7" minRefreshableVersion="3" recordCount="24" xr:uid="{C35778C9-E5D6-439B-8B81-397BE3851DEC}">
  <cacheSource type="worksheet">
    <worksheetSource name="Tabela5"/>
  </cacheSource>
  <cacheFields count="12">
    <cacheField name="ID da Venda" numFmtId="0">
      <sharedItems containsSemiMixedTypes="0" containsString="0" containsNumber="1" containsInteger="1" minValue="1" maxValue="13"/>
    </cacheField>
    <cacheField name="Data" numFmtId="14">
      <sharedItems containsSemiMixedTypes="0" containsNonDate="0" containsDate="1" containsString="0" minDate="2015-07-02T00:00:00" maxDate="2015-07-06T00:00:00" count="4">
        <d v="2015-07-05T00:00:00"/>
        <d v="2015-07-04T00:00:00"/>
        <d v="2015-07-03T00:00:00"/>
        <d v="2015-07-02T00:00:00"/>
      </sharedItems>
    </cacheField>
    <cacheField name="Produto" numFmtId="0">
      <sharedItems count="13">
        <s v="Caixa de Fósforo"/>
        <s v="Carne"/>
        <s v="Cerveja"/>
        <s v="Feijão"/>
        <s v="Refrigerante"/>
        <s v="Pão de Forma"/>
        <s v="Vagem"/>
        <s v="Queijo"/>
        <s v="Alface"/>
        <s v="Bala"/>
        <s v="Arroz"/>
        <s v="Leite"/>
        <s v="Amendoim"/>
      </sharedItems>
    </cacheField>
    <cacheField name="Medida" numFmtId="0">
      <sharedItems/>
    </cacheField>
    <cacheField name="Quantidade" numFmtId="0">
      <sharedItems containsSemiMixedTypes="0" containsString="0" containsNumber="1" minValue="1" maxValue="24"/>
    </cacheField>
    <cacheField name="Preço Unitário" numFmtId="44">
      <sharedItems containsSemiMixedTypes="0" containsString="0" containsNumber="1" minValue="0.79" maxValue="25.9"/>
    </cacheField>
    <cacheField name="Subtotal" numFmtId="44">
      <sharedItems containsSemiMixedTypes="0" containsString="0" containsNumber="1" minValue="0.79" maxValue="159"/>
    </cacheField>
    <cacheField name="Desconto" numFmtId="0">
      <sharedItems containsNonDate="0" containsString="0" containsBlank="1"/>
    </cacheField>
    <cacheField name="Entrega" numFmtId="0">
      <sharedItems count="4">
        <s v="Zona Sul"/>
        <s v="Loja"/>
        <s v="Zona Norte"/>
        <s v="Zona Oeste"/>
      </sharedItems>
    </cacheField>
    <cacheField name="Valor de Entrega" numFmtId="44">
      <sharedItems containsSemiMixedTypes="0" containsString="0" containsNumber="1" minValue="0" maxValue="8"/>
    </cacheField>
    <cacheField name="Total" numFmtId="44">
      <sharedItems containsSemiMixedTypes="0" containsString="0" containsNumber="1" minValue="0.79" maxValue="159"/>
    </cacheField>
    <cacheField name="Total para o Cliente" numFmtId="44">
      <sharedItems containsMixedTypes="1" containsNumber="1" minValue="2.19" maxValue="218.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o" refreshedDate="46080.873128935185" createdVersion="7" refreshedVersion="7" minRefreshableVersion="3" recordCount="10" xr:uid="{83CB3493-B89F-46DF-B278-06000EA278DD}">
  <cacheSource type="worksheet">
    <worksheetSource name="Tabela57"/>
  </cacheSource>
  <cacheFields count="12">
    <cacheField name="ID da Venda" numFmtId="0">
      <sharedItems containsString="0" containsBlank="1" containsNumber="1" containsInteger="1" minValue="100" maxValue="100"/>
    </cacheField>
    <cacheField name="Data" numFmtId="14">
      <sharedItems containsNonDate="0" containsDate="1" containsString="0" containsBlank="1" minDate="2015-05-15T00:00:00" maxDate="2015-05-16T00:00:00" count="2">
        <d v="2015-05-15T00:00:00"/>
        <m/>
      </sharedItems>
    </cacheField>
    <cacheField name="Produto" numFmtId="0">
      <sharedItems containsBlank="1" count="2">
        <s v="Vodka"/>
        <m/>
      </sharedItems>
    </cacheField>
    <cacheField name="Medida" numFmtId="0">
      <sharedItems containsBlank="1"/>
    </cacheField>
    <cacheField name="Quantidade" numFmtId="0">
      <sharedItems containsString="0" containsBlank="1" containsNumber="1" containsInteger="1" minValue="1" maxValue="1"/>
    </cacheField>
    <cacheField name="Preço Unitário" numFmtId="44">
      <sharedItems containsSemiMixedTypes="0" containsString="0" containsNumber="1" minValue="0" maxValue="54.9"/>
    </cacheField>
    <cacheField name="Subtotal" numFmtId="44">
      <sharedItems containsSemiMixedTypes="0" containsString="0" containsNumber="1" minValue="0" maxValue="54.9"/>
    </cacheField>
    <cacheField name="Desconto" numFmtId="0">
      <sharedItems containsNonDate="0" containsString="0" containsBlank="1"/>
    </cacheField>
    <cacheField name="Entrega" numFmtId="0">
      <sharedItems containsBlank="1" count="2">
        <s v="Zona Oeste"/>
        <m/>
      </sharedItems>
    </cacheField>
    <cacheField name="Valor de Entrega" numFmtId="44">
      <sharedItems containsSemiMixedTypes="0" containsString="0" containsNumber="1" containsInteger="1" minValue="0" maxValue="8"/>
    </cacheField>
    <cacheField name="Total" numFmtId="44">
      <sharedItems containsSemiMixedTypes="0" containsString="0" containsNumber="1" minValue="0" maxValue="62.9"/>
    </cacheField>
    <cacheField name="Total para o Cliente" numFmtId="44">
      <sharedItems containsMixedTypes="1" containsNumber="1" minValue="62.9" maxValue="62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o" refreshedDate="46080.873655324074" createdVersion="7" refreshedVersion="7" minRefreshableVersion="3" recordCount="10" xr:uid="{AA14A7A6-4F9D-4F2A-909A-4AE79345E937}">
  <cacheSource type="worksheet">
    <worksheetSource name="Tabela58"/>
  </cacheSource>
  <cacheFields count="12">
    <cacheField name="ID da Venda" numFmtId="0">
      <sharedItems containsNonDate="0" containsString="0" containsBlank="1"/>
    </cacheField>
    <cacheField name="Data" numFmtId="14">
      <sharedItems containsNonDate="0" containsString="0" containsBlank="1" count="1">
        <m/>
      </sharedItems>
    </cacheField>
    <cacheField name="Produto" numFmtId="0">
      <sharedItems containsNonDate="0" containsString="0" containsBlank="1" count="1">
        <m/>
      </sharedItems>
    </cacheField>
    <cacheField name="Medida" numFmtId="0">
      <sharedItems containsBlank="1"/>
    </cacheField>
    <cacheField name="Quantidade" numFmtId="0">
      <sharedItems containsNonDate="0" containsString="0" containsBlank="1"/>
    </cacheField>
    <cacheField name="Preço Unitário" numFmtId="44">
      <sharedItems containsSemiMixedTypes="0" containsString="0" containsNumber="1" containsInteger="1" minValue="0" maxValue="0"/>
    </cacheField>
    <cacheField name="Subtotal" numFmtId="44">
      <sharedItems containsSemiMixedTypes="0" containsString="0" containsNumber="1" containsInteger="1" minValue="0" maxValue="0"/>
    </cacheField>
    <cacheField name="Desconto" numFmtId="0">
      <sharedItems containsNonDate="0" containsString="0" containsBlank="1"/>
    </cacheField>
    <cacheField name="Entrega" numFmtId="0">
      <sharedItems containsNonDate="0" containsString="0" containsBlank="1" count="1">
        <m/>
      </sharedItems>
    </cacheField>
    <cacheField name="Valor de Entrega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containsInteger="1" minValue="0" maxValue="0"/>
    </cacheField>
    <cacheField name="Total para o Cliente" numFmtId="4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o" refreshedDate="46080.874368287034" createdVersion="7" refreshedVersion="7" minRefreshableVersion="3" recordCount="10" xr:uid="{F071467D-8DCC-4128-B0F4-0612F43831D6}">
  <cacheSource type="worksheet">
    <worksheetSource name="Tabela59"/>
  </cacheSource>
  <cacheFields count="12">
    <cacheField name="ID da Venda" numFmtId="0">
      <sharedItems containsNonDate="0" containsString="0" containsBlank="1"/>
    </cacheField>
    <cacheField name="Data" numFmtId="14">
      <sharedItems containsNonDate="0" containsString="0" containsBlank="1" count="1">
        <m/>
      </sharedItems>
    </cacheField>
    <cacheField name="Produto" numFmtId="0">
      <sharedItems containsNonDate="0" containsString="0" containsBlank="1" count="1">
        <m/>
      </sharedItems>
    </cacheField>
    <cacheField name="Medida" numFmtId="0">
      <sharedItems containsBlank="1"/>
    </cacheField>
    <cacheField name="Quantidade" numFmtId="0">
      <sharedItems containsNonDate="0" containsString="0" containsBlank="1"/>
    </cacheField>
    <cacheField name="Preço Unitário" numFmtId="44">
      <sharedItems containsSemiMixedTypes="0" containsString="0" containsNumber="1" containsInteger="1" minValue="0" maxValue="0"/>
    </cacheField>
    <cacheField name="Subtotal" numFmtId="44">
      <sharedItems containsSemiMixedTypes="0" containsString="0" containsNumber="1" containsInteger="1" minValue="0" maxValue="0"/>
    </cacheField>
    <cacheField name="Desconto" numFmtId="0">
      <sharedItems containsNonDate="0" containsString="0" containsBlank="1"/>
    </cacheField>
    <cacheField name="Entrega" numFmtId="0">
      <sharedItems containsNonDate="0" containsString="0" containsBlank="1" count="1">
        <m/>
      </sharedItems>
    </cacheField>
    <cacheField name="Valor de Entrega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containsInteger="1" minValue="0" maxValue="0"/>
    </cacheField>
    <cacheField name="Total para o Cliente" numFmtId="4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o" refreshedDate="46080.874852893518" createdVersion="7" refreshedVersion="7" minRefreshableVersion="3" recordCount="9" xr:uid="{66D7B4F7-E99A-401D-827B-64CF72AF0FFF}">
  <cacheSource type="worksheet">
    <worksheetSource name="Tabela510"/>
  </cacheSource>
  <cacheFields count="12">
    <cacheField name="ID da Venda" numFmtId="0">
      <sharedItems containsNonDate="0" containsString="0" containsBlank="1"/>
    </cacheField>
    <cacheField name="Data" numFmtId="14">
      <sharedItems containsSemiMixedTypes="0" containsNonDate="0" containsDate="1" containsString="0" minDate="2026-02-27T00:00:00" maxDate="2026-02-28T00:00:00" count="1">
        <d v="2026-02-27T00:00:00"/>
      </sharedItems>
    </cacheField>
    <cacheField name="Produto" numFmtId="0">
      <sharedItems containsNonDate="0" containsString="0" containsBlank="1" count="1">
        <m/>
      </sharedItems>
    </cacheField>
    <cacheField name="Medida" numFmtId="0">
      <sharedItems containsBlank="1"/>
    </cacheField>
    <cacheField name="Quantidade" numFmtId="0">
      <sharedItems containsNonDate="0" containsString="0" containsBlank="1"/>
    </cacheField>
    <cacheField name="Preço Unitário" numFmtId="44">
      <sharedItems containsSemiMixedTypes="0" containsString="0" containsNumber="1" containsInteger="1" minValue="0" maxValue="0"/>
    </cacheField>
    <cacheField name="Subtotal" numFmtId="44">
      <sharedItems containsSemiMixedTypes="0" containsString="0" containsNumber="1" containsInteger="1" minValue="0" maxValue="0"/>
    </cacheField>
    <cacheField name="Desconto" numFmtId="0">
      <sharedItems containsNonDate="0" containsString="0" containsBlank="1"/>
    </cacheField>
    <cacheField name="Entrega" numFmtId="0">
      <sharedItems containsNonDate="0" containsString="0" containsBlank="1" count="1">
        <m/>
      </sharedItems>
    </cacheField>
    <cacheField name="Valor de Entrega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containsInteger="1" minValue="0" maxValue="0"/>
    </cacheField>
    <cacheField name="Total para o Cliente" numFmtId="4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n v="13"/>
    <x v="0"/>
    <x v="0"/>
    <s v="Pacote"/>
    <n v="1"/>
    <n v="0.79"/>
    <n v="0.79"/>
    <m/>
    <x v="0"/>
    <n v="0"/>
    <n v="0.79"/>
    <s v=""/>
  </r>
  <r>
    <n v="13"/>
    <x v="0"/>
    <x v="1"/>
    <s v="Kg"/>
    <n v="10"/>
    <n v="15.9"/>
    <n v="159"/>
    <m/>
    <x v="0"/>
    <n v="0"/>
    <n v="159"/>
    <s v=""/>
  </r>
  <r>
    <n v="13"/>
    <x v="0"/>
    <x v="2"/>
    <s v="Lata"/>
    <n v="24"/>
    <n v="2.19"/>
    <n v="52.56"/>
    <m/>
    <x v="0"/>
    <n v="6.5"/>
    <n v="59.06"/>
    <n v="218.85"/>
  </r>
  <r>
    <n v="12"/>
    <x v="1"/>
    <x v="2"/>
    <s v="Lata"/>
    <n v="1"/>
    <n v="2.19"/>
    <n v="2.19"/>
    <m/>
    <x v="1"/>
    <n v="0"/>
    <n v="2.19"/>
    <n v="2.19"/>
  </r>
  <r>
    <n v="11"/>
    <x v="1"/>
    <x v="2"/>
    <s v="Lata"/>
    <n v="10"/>
    <n v="2.19"/>
    <n v="21.9"/>
    <m/>
    <x v="1"/>
    <n v="0"/>
    <n v="21.9"/>
    <n v="21.9"/>
  </r>
  <r>
    <n v="10"/>
    <x v="1"/>
    <x v="3"/>
    <s v="Kg"/>
    <n v="6"/>
    <n v="4.28"/>
    <n v="25.68"/>
    <m/>
    <x v="1"/>
    <n v="0"/>
    <n v="25.68"/>
    <s v=""/>
  </r>
  <r>
    <n v="10"/>
    <x v="1"/>
    <x v="4"/>
    <s v="Litro"/>
    <n v="4"/>
    <n v="2.39"/>
    <n v="9.56"/>
    <m/>
    <x v="1"/>
    <n v="0"/>
    <n v="9.56"/>
    <n v="35.24"/>
  </r>
  <r>
    <n v="9"/>
    <x v="2"/>
    <x v="5"/>
    <s v="Unidade"/>
    <n v="5"/>
    <n v="2.89"/>
    <n v="14.450000000000001"/>
    <m/>
    <x v="1"/>
    <n v="0"/>
    <n v="14.450000000000001"/>
    <s v=""/>
  </r>
  <r>
    <n v="9"/>
    <x v="2"/>
    <x v="6"/>
    <s v="Kg"/>
    <n v="2"/>
    <n v="9.58"/>
    <n v="19.16"/>
    <m/>
    <x v="1"/>
    <n v="0"/>
    <n v="19.16"/>
    <s v=""/>
  </r>
  <r>
    <n v="9"/>
    <x v="2"/>
    <x v="7"/>
    <s v="Kg"/>
    <n v="1.5"/>
    <n v="25.9"/>
    <n v="38.849999999999994"/>
    <m/>
    <x v="1"/>
    <n v="0"/>
    <n v="38.849999999999994"/>
    <s v=""/>
  </r>
  <r>
    <n v="9"/>
    <x v="2"/>
    <x v="3"/>
    <s v="Kg"/>
    <n v="4"/>
    <n v="4.28"/>
    <n v="17.12"/>
    <m/>
    <x v="1"/>
    <n v="0"/>
    <n v="17.12"/>
    <n v="89.58"/>
  </r>
  <r>
    <n v="8"/>
    <x v="2"/>
    <x v="2"/>
    <s v="Lata"/>
    <n v="20"/>
    <n v="2.19"/>
    <n v="43.8"/>
    <m/>
    <x v="0"/>
    <n v="6.5"/>
    <n v="50.3"/>
    <n v="50.3"/>
  </r>
  <r>
    <n v="7"/>
    <x v="2"/>
    <x v="2"/>
    <s v="Lata"/>
    <n v="20"/>
    <n v="2.19"/>
    <n v="43.8"/>
    <m/>
    <x v="1"/>
    <n v="0"/>
    <n v="43.8"/>
    <n v="43.8"/>
  </r>
  <r>
    <n v="6"/>
    <x v="2"/>
    <x v="0"/>
    <s v="Pacote"/>
    <n v="2"/>
    <n v="0.79"/>
    <n v="1.58"/>
    <m/>
    <x v="1"/>
    <n v="0"/>
    <n v="1.58"/>
    <s v=""/>
  </r>
  <r>
    <n v="6"/>
    <x v="2"/>
    <x v="1"/>
    <s v="Kg"/>
    <n v="6"/>
    <n v="15.9"/>
    <n v="95.4"/>
    <m/>
    <x v="1"/>
    <n v="0"/>
    <n v="95.4"/>
    <s v=""/>
  </r>
  <r>
    <n v="6"/>
    <x v="2"/>
    <x v="2"/>
    <s v="Lata"/>
    <n v="12"/>
    <n v="2.19"/>
    <n v="26.28"/>
    <m/>
    <x v="1"/>
    <n v="0"/>
    <n v="26.28"/>
    <n v="123.26"/>
  </r>
  <r>
    <n v="5"/>
    <x v="3"/>
    <x v="8"/>
    <s v="Unidade"/>
    <n v="3"/>
    <n v="2.99"/>
    <n v="8.9700000000000006"/>
    <m/>
    <x v="0"/>
    <n v="6.5"/>
    <n v="15.47"/>
    <n v="15.47"/>
  </r>
  <r>
    <n v="4"/>
    <x v="3"/>
    <x v="9"/>
    <s v="Pacote"/>
    <n v="2"/>
    <n v="1.99"/>
    <n v="3.98"/>
    <m/>
    <x v="2"/>
    <n v="0"/>
    <n v="3.98"/>
    <s v=""/>
  </r>
  <r>
    <n v="4"/>
    <x v="3"/>
    <x v="10"/>
    <s v="Kg"/>
    <n v="5"/>
    <n v="2.4900000000000002"/>
    <n v="12.450000000000001"/>
    <m/>
    <x v="2"/>
    <n v="6.5"/>
    <n v="18.950000000000003"/>
    <n v="22.930000000000003"/>
  </r>
  <r>
    <n v="3"/>
    <x v="3"/>
    <x v="11"/>
    <s v="Litro"/>
    <n v="6"/>
    <n v="1.49"/>
    <n v="8.94"/>
    <m/>
    <x v="3"/>
    <n v="8"/>
    <n v="16.939999999999998"/>
    <n v="16.939999999999998"/>
  </r>
  <r>
    <n v="2"/>
    <x v="3"/>
    <x v="9"/>
    <s v="Pacote"/>
    <n v="1"/>
    <n v="1.99"/>
    <n v="1.99"/>
    <m/>
    <x v="2"/>
    <n v="6.5"/>
    <n v="8.49"/>
    <n v="8.49"/>
  </r>
  <r>
    <n v="1"/>
    <x v="3"/>
    <x v="10"/>
    <s v="Kg"/>
    <n v="2"/>
    <n v="2.4900000000000002"/>
    <n v="4.9800000000000004"/>
    <m/>
    <x v="1"/>
    <n v="0"/>
    <n v="4.9800000000000004"/>
    <s v=""/>
  </r>
  <r>
    <n v="1"/>
    <x v="3"/>
    <x v="12"/>
    <s v="Pacote"/>
    <n v="3"/>
    <n v="1.1499999999999999"/>
    <n v="3.4499999999999997"/>
    <m/>
    <x v="1"/>
    <n v="0"/>
    <n v="3.4499999999999997"/>
    <s v=""/>
  </r>
  <r>
    <n v="1"/>
    <x v="3"/>
    <x v="9"/>
    <s v="Pacote"/>
    <n v="1"/>
    <n v="1.99"/>
    <n v="1.99"/>
    <m/>
    <x v="1"/>
    <n v="0"/>
    <n v="1.99"/>
    <n v="10.4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100"/>
    <x v="0"/>
    <x v="0"/>
    <s v="Garrafa"/>
    <n v="1"/>
    <n v="54.9"/>
    <n v="54.9"/>
    <m/>
    <x v="0"/>
    <n v="8"/>
    <n v="62.9"/>
    <n v="62.9"/>
  </r>
  <r>
    <m/>
    <x v="1"/>
    <x v="1"/>
    <m/>
    <m/>
    <n v="0"/>
    <n v="0"/>
    <m/>
    <x v="1"/>
    <n v="0"/>
    <n v="0"/>
    <s v=""/>
  </r>
  <r>
    <m/>
    <x v="1"/>
    <x v="1"/>
    <m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m/>
    <x v="0"/>
    <x v="0"/>
    <m/>
    <m/>
    <n v="0"/>
    <n v="0"/>
    <m/>
    <x v="0"/>
    <n v="0"/>
    <n v="0"/>
    <s v=""/>
  </r>
  <r>
    <m/>
    <x v="0"/>
    <x v="0"/>
    <m/>
    <m/>
    <n v="0"/>
    <n v="0"/>
    <m/>
    <x v="0"/>
    <n v="0"/>
    <n v="0"/>
    <s v=""/>
  </r>
  <r>
    <m/>
    <x v="0"/>
    <x v="0"/>
    <m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m/>
    <x v="0"/>
    <x v="0"/>
    <m/>
    <m/>
    <n v="0"/>
    <n v="0"/>
    <m/>
    <x v="0"/>
    <n v="0"/>
    <n v="0"/>
    <s v=""/>
  </r>
  <r>
    <m/>
    <x v="0"/>
    <x v="0"/>
    <m/>
    <m/>
    <n v="0"/>
    <n v="0"/>
    <m/>
    <x v="0"/>
    <n v="0"/>
    <n v="0"/>
    <s v=""/>
  </r>
  <r>
    <m/>
    <x v="0"/>
    <x v="0"/>
    <m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m/>
    <x v="0"/>
    <x v="0"/>
    <s v=""/>
    <m/>
    <n v="0"/>
    <n v="0"/>
    <m/>
    <x v="0"/>
    <n v="0"/>
    <n v="0"/>
    <s v=""/>
  </r>
  <r>
    <m/>
    <x v="0"/>
    <x v="0"/>
    <m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  <r>
    <m/>
    <x v="0"/>
    <x v="0"/>
    <s v=""/>
    <m/>
    <n v="0"/>
    <n v="0"/>
    <m/>
    <x v="0"/>
    <n v="0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0E5F-08D5-4AD0-B9BC-601174DE48C6}" name="Tabela dinâmica3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F3:I8" firstHeaderRow="0" firstDataRow="1" firstDataCol="1"/>
  <pivotFields count="12">
    <pivotField showAll="0"/>
    <pivotField numFmtId="14" showAll="0"/>
    <pivotField showAll="0">
      <items count="14">
        <item x="8"/>
        <item x="12"/>
        <item x="10"/>
        <item x="9"/>
        <item x="0"/>
        <item x="1"/>
        <item x="2"/>
        <item x="3"/>
        <item x="11"/>
        <item x="5"/>
        <item x="7"/>
        <item x="4"/>
        <item x="6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5">
        <item x="1"/>
        <item x="2"/>
        <item x="3"/>
        <item x="0"/>
        <item t="default"/>
      </items>
    </pivotField>
    <pivotField dataField="1" numFmtId="44" showAll="0"/>
    <pivotField dataField="1" numFmtId="44" showAll="0"/>
    <pivotField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F3B007-C09E-4931-B7FA-B8B6D08B0764}" name="Tabela dinâmica2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C26" firstHeaderRow="0" firstDataRow="1" firstDataCol="1"/>
  <pivotFields count="12">
    <pivotField showAll="0"/>
    <pivotField axis="axisRow" numFmtId="14" showAll="0">
      <items count="5">
        <item x="3"/>
        <item x="2"/>
        <item x="1"/>
        <item x="0"/>
        <item t="default"/>
      </items>
    </pivotField>
    <pivotField axis="axisRow" showAll="0">
      <items count="14">
        <item x="8"/>
        <item x="12"/>
        <item x="10"/>
        <item x="9"/>
        <item x="0"/>
        <item x="1"/>
        <item x="2"/>
        <item x="3"/>
        <item x="11"/>
        <item x="5"/>
        <item x="7"/>
        <item x="4"/>
        <item x="6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23">
    <i>
      <x/>
    </i>
    <i r="1">
      <x/>
    </i>
    <i r="1">
      <x v="1"/>
    </i>
    <i r="1">
      <x v="2"/>
    </i>
    <i r="1">
      <x v="3"/>
    </i>
    <i r="1">
      <x v="8"/>
    </i>
    <i>
      <x v="1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>
      <x v="2"/>
    </i>
    <i r="1">
      <x v="6"/>
    </i>
    <i r="1">
      <x v="7"/>
    </i>
    <i r="1">
      <x v="11"/>
    </i>
    <i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1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D09C39-BAAB-4C14-9F2E-4EBF873C857F}" name="Tabela dinâmica2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C8" firstHeaderRow="0" firstDataRow="1" firstDataCol="1"/>
  <pivotFields count="12">
    <pivotField showAll="0"/>
    <pivotField axis="axisRow" numFmtId="14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5">
    <i>
      <x/>
    </i>
    <i r="1"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1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B0771D-D674-455F-84CF-D8D7BCE68F85}" name="Tabela dinâmica3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F3:I6" firstHeaderRow="0" firstDataRow="1" firstDataCol="1"/>
  <pivotFields count="12">
    <pivotField showAll="0"/>
    <pivotField numFmtId="14" showAll="0"/>
    <pivotField showAll="0"/>
    <pivotField showAll="0"/>
    <pivotField dataField="1" showAll="0"/>
    <pivotField numFmtId="44" showAll="0"/>
    <pivotField numFmtId="44" showAll="0"/>
    <pivotField showAll="0"/>
    <pivotField axis="axisRow" showAll="0">
      <items count="3">
        <item x="0"/>
        <item x="1"/>
        <item t="default"/>
      </items>
    </pivotField>
    <pivotField dataField="1" numFmtId="44" showAll="0"/>
    <pivotField dataField="1" numFmtId="44" showAll="0"/>
    <pivotField showAll="0"/>
  </pivotFields>
  <rowFields count="1">
    <field x="8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3A15D9-CB6C-4B3D-A348-B03EFE0B6A1A}" name="Tabela dinâmica3" cacheId="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F3:I5" firstHeaderRow="0" firstDataRow="1" firstDataCol="1"/>
  <pivotFields count="12">
    <pivotField showAll="0"/>
    <pivotField numFmtId="14" showAll="0"/>
    <pivotField showAll="0"/>
    <pivotField showAll="0"/>
    <pivotField dataField="1" showAll="0"/>
    <pivotField numFmtId="44" showAll="0"/>
    <pivotField numFmtId="44" showAll="0"/>
    <pivotField showAll="0"/>
    <pivotField axis="axisRow" showAll="0">
      <items count="2">
        <item x="0"/>
        <item t="default"/>
      </items>
    </pivotField>
    <pivotField dataField="1" numFmtId="44" showAll="0"/>
    <pivotField dataField="1" numFmtId="44" showAll="0"/>
    <pivotField showAll="0"/>
  </pivotFields>
  <rowFields count="1">
    <field x="8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234DED-A3F1-49A1-B2B0-DA60D4C72955}" name="Tabela dinâmica2" cacheId="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C6" firstHeaderRow="0" firstDataRow="1" firstDataCol="1"/>
  <pivotFields count="12">
    <pivotField showAll="0"/>
    <pivotField axis="axisRow" numFmtId="14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3">
    <i>
      <x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1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137CD5-1A90-47C9-A1C7-B954E7A6737D}" name="Tabela dinâmica2" cacheId="3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C6" firstHeaderRow="0" firstDataRow="1" firstDataCol="1"/>
  <pivotFields count="12">
    <pivotField showAll="0"/>
    <pivotField axis="axisRow" numFmtId="14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3">
    <i>
      <x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1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E1658C-FD14-4913-93F6-69F465F7DF53}" name="Tabela dinâmica3" cacheId="3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F3:I5" firstHeaderRow="0" firstDataRow="1" firstDataCol="1"/>
  <pivotFields count="12">
    <pivotField showAll="0"/>
    <pivotField numFmtId="14" showAll="0"/>
    <pivotField showAll="0"/>
    <pivotField showAll="0"/>
    <pivotField dataField="1" showAll="0"/>
    <pivotField numFmtId="44" showAll="0"/>
    <pivotField numFmtId="44" showAll="0"/>
    <pivotField showAll="0"/>
    <pivotField axis="axisRow" showAll="0">
      <items count="2">
        <item x="0"/>
        <item t="default"/>
      </items>
    </pivotField>
    <pivotField dataField="1" numFmtId="44" showAll="0"/>
    <pivotField dataField="1" numFmtId="44" showAll="0"/>
    <pivotField showAll="0"/>
  </pivotFields>
  <rowFields count="1">
    <field x="8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72AE7D-9587-4D85-BCA4-0E42702BBD37}" name="Tabela dinâmica3" cacheId="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F3:I5" firstHeaderRow="0" firstDataRow="1" firstDataCol="1"/>
  <pivotFields count="12">
    <pivotField showAll="0"/>
    <pivotField numFmtId="14" showAll="0"/>
    <pivotField showAll="0"/>
    <pivotField showAll="0"/>
    <pivotField dataField="1" showAll="0"/>
    <pivotField numFmtId="44" showAll="0"/>
    <pivotField numFmtId="44" showAll="0"/>
    <pivotField showAll="0"/>
    <pivotField axis="axisRow" showAll="0">
      <items count="2">
        <item x="0"/>
        <item t="default"/>
      </items>
    </pivotField>
    <pivotField dataField="1" numFmtId="44" showAll="0"/>
    <pivotField dataField="1" numFmtId="44" showAll="0"/>
    <pivotField showAll="0"/>
  </pivotFields>
  <rowFields count="1">
    <field x="8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BCA65D-7E95-40B2-8FFB-93AF5221F406}" name="Tabela dinâmica2" cacheId="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C6" firstHeaderRow="0" firstDataRow="1" firstDataCol="1"/>
  <pivotFields count="12">
    <pivotField showAll="0"/>
    <pivotField axis="axisRow" numFmtId="14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3">
    <i>
      <x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1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0F5C31-3647-401C-BC1F-6167D3708EEE}" name="Tabela1" displayName="Tabela1" ref="B4:G29" totalsRowShown="0">
  <autoFilter ref="B4:G29" xr:uid="{0D0F5C31-3647-401C-BC1F-6167D3708EEE}"/>
  <tableColumns count="6">
    <tableColumn id="1" xr3:uid="{718985FB-5C5A-40CC-92C9-5FB3CBE3C58D}" name="Despesas de Funcionamento"/>
    <tableColumn id="2" xr3:uid="{50E344E9-A6FC-49FA-B336-F610585AD821}" name="Itens Despesas"/>
    <tableColumn id="3" xr3:uid="{AAB81FC9-9202-4FF5-BF3E-E09F36162B7B}" name="Data"/>
    <tableColumn id="4" xr3:uid="{9FA6E9FC-1232-40FB-8D7E-FE1FFB1500D3}" name="Observação"/>
    <tableColumn id="5" xr3:uid="{56096DDC-B9B3-42F9-B37D-CBB3A7BDDBAF}" name="Valor Intermediário"/>
    <tableColumn id="6" xr3:uid="{7750F9F5-FBFA-4C6C-9188-BBEACC52ECF7}" name="Valor Final" dataDxfId="53"/>
  </tableColumns>
  <tableStyleInfo name="TableStyleMedium2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085588-F7E4-428A-ACF4-18546CDBF2A3}" name="Tabela2" displayName="Tabela2" ref="B5:I27" totalsRowShown="0">
  <autoFilter ref="B5:I27" xr:uid="{48085588-F7E4-428A-ACF4-18546CDBF2A3}"/>
  <sortState xmlns:xlrd2="http://schemas.microsoft.com/office/spreadsheetml/2017/richdata2" ref="B6:I27">
    <sortCondition descending="1" ref="B5:B27"/>
  </sortState>
  <tableColumns count="8">
    <tableColumn id="1" xr3:uid="{B8F067E4-02BA-4607-ABF3-DD5E2FB20904}" name="Data" dataDxfId="52"/>
    <tableColumn id="2" xr3:uid="{101E0BC4-245E-46A2-B1F9-1B55D6D659DE}" name="Fornecedor"/>
    <tableColumn id="3" xr3:uid="{D921A78E-3E7B-44AF-AE3B-DD10C6D8C3D8}" name="Mercadoria"/>
    <tableColumn id="4" xr3:uid="{DC1878DF-A76D-424C-96C9-DA7C4E920529}" name="Medida" dataDxfId="51">
      <calculatedColumnFormula>IFERROR(VLOOKUP(Tabela2[[#This Row],[Mercadoria]],Cálculos!$J$5:$M$33,4,FALSE),"")</calculatedColumnFormula>
    </tableColumn>
    <tableColumn id="5" xr3:uid="{A50D41F8-C917-469A-A296-74DB2C7A4881}" name="Quantidade"/>
    <tableColumn id="6" xr3:uid="{FCE30D9E-8B27-4A5C-B41A-4257B2A04888}" name="Preço Unitário" dataDxfId="50">
      <calculatedColumnFormula>IFERROR(VLOOKUP(Tabela2[[#This Row],[Mercadoria]],Cálculos!$J$5:$M$33,2,FALSE),0)</calculatedColumnFormula>
    </tableColumn>
    <tableColumn id="7" xr3:uid="{044D39F6-A5F4-44A0-8994-1243B84AB7C8}" name="Desconto" dataCellStyle="Porcentagem"/>
    <tableColumn id="8" xr3:uid="{3596037D-DACE-48DC-BD12-1254BBF04E13}" name="Valor Pago" dataDxfId="49">
      <calculatedColumnFormula>Tabela2[[#This Row],[Quantidade]]*Tabela2[[#This Row],[Preço Unitário]]*(1-Tabela2[[#This Row],[Desconto]])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3F9474B-708D-4223-A50D-5AC93D723733}" name="Tabela3" displayName="Tabela3" ref="B4:E9" totalsRowShown="0">
  <autoFilter ref="B4:E9" xr:uid="{63F9474B-708D-4223-A50D-5AC93D723733}"/>
  <tableColumns count="4">
    <tableColumn id="1" xr3:uid="{908010D8-F0BC-431E-852E-25760F6488DB}" name="Investimento"/>
    <tableColumn id="2" xr3:uid="{A10D1314-EE28-4CD2-8474-E55494B4AA07}" name="Data" dataDxfId="48"/>
    <tableColumn id="3" xr3:uid="{69E99676-CA2D-41CD-8AE6-30FED83E3679}" name="Descrição" dataDxfId="47"/>
    <tableColumn id="4" xr3:uid="{C9A395A5-FE87-4FFB-9834-47255262D42B}" name="Valor" dataDxfId="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C7DCA9-0A20-402A-8BD8-ED1E3ECF25C6}" name="Tabela4" displayName="Tabela4" ref="B4:H28" totalsRowShown="0">
  <autoFilter ref="B4:H28" xr:uid="{AEC7DCA9-0A20-402A-8BD8-ED1E3ECF25C6}"/>
  <tableColumns count="7">
    <tableColumn id="1" xr3:uid="{AA3F742A-E630-4878-9ED2-17B1B2A4F727}" name="Produto"/>
    <tableColumn id="2" xr3:uid="{7341A18F-A06D-4B0A-945F-ED621207486A}" name="Data da Última Compra" dataDxfId="42">
      <calculatedColumnFormula>IFERROR(INDEX(Tabela2[],MATCH(Tabela4[[#This Row],[Produto]],Tabela2[Mercadoria],0),1),"")</calculatedColumnFormula>
    </tableColumn>
    <tableColumn id="3" xr3:uid="{1AA72153-3D9B-4468-8C7D-C2375A61D467}" name="Quantidade Inicial"/>
    <tableColumn id="4" xr3:uid="{F8F05FBD-B698-44AC-B430-B36994A9BF15}" name="Quantidade Comprada" dataDxfId="41">
      <calculatedColumnFormula>SUMIF(Tabela2[Mercadoria],Tabela4[[#This Row],[Produto]],Tabela2[Quantidade])</calculatedColumnFormula>
    </tableColumn>
    <tableColumn id="5" xr3:uid="{F0C1E283-96C8-4A57-8525-B5BE535B066F}" name="Quantidade Vendida" dataDxfId="40">
      <calculatedColumnFormula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calculatedColumnFormula>
    </tableColumn>
    <tableColumn id="6" xr3:uid="{433F8CE7-1DEE-4474-A932-976438DFD327}" name="Quantidade Atual" dataDxfId="39">
      <calculatedColumnFormula>Tabela4[[#This Row],[Quantidade Inicial]]+Tabela4[[#This Row],[Quantidade Comprada]]-Tabela4[[#This Row],[Quantidade Vendida]]</calculatedColumnFormula>
    </tableColumn>
    <tableColumn id="7" xr3:uid="{AD2ECFBA-20A2-486D-BBD9-6B03CE677912}" name="Situação" dataDxfId="38">
      <calculatedColumnFormula>IF(Tabela4[[#This Row],[Quantidade Atual]]&lt;50,IF(Tabela4[[#This Row],[Quantidade Atual]]&lt;21,"Comprar","Atenção"),"OK")</calculatedColumnFormula>
    </tableColumn>
  </tableColumns>
  <tableStyleInfo name="TableStyleMedium4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3E08136-CEC7-4F39-AA8E-06EFB9ED89B2}" name="Tabela5" displayName="Tabela5" ref="B5:M29" totalsRowShown="0">
  <autoFilter ref="B5:M29" xr:uid="{F3E08136-CEC7-4F39-AA8E-06EFB9ED89B2}"/>
  <sortState xmlns:xlrd2="http://schemas.microsoft.com/office/spreadsheetml/2017/richdata2" ref="B6:M29">
    <sortCondition descending="1" ref="B5:B29"/>
  </sortState>
  <tableColumns count="12">
    <tableColumn id="1" xr3:uid="{98F4E9B8-F7EF-4A43-AD4E-1905BA0291C6}" name="ID da Venda"/>
    <tableColumn id="2" xr3:uid="{CDACD092-3D24-4B1D-8DED-8B2286AE683E}" name="Data" dataDxfId="35"/>
    <tableColumn id="3" xr3:uid="{5D0EFDFA-0593-4437-8014-C6F4007D52A4}" name="Produto"/>
    <tableColumn id="4" xr3:uid="{A8334D31-0EE2-4C1D-A239-B4FB28191B46}" name="Medida" dataDxfId="34">
      <calculatedColumnFormula>IFERROR(VLOOKUP(Tabela5[[#This Row],[Produto]],Cálculos!$J$5:$M$33,4,FALSE),"")</calculatedColumnFormula>
    </tableColumn>
    <tableColumn id="5" xr3:uid="{DE72F88C-5FAA-43BF-A122-F67DD789BFE5}" name="Quantidade"/>
    <tableColumn id="6" xr3:uid="{D2F0F1EA-C3CB-4408-9C45-7167D94890DD}" name="Preço Unitário" dataDxfId="33">
      <calculatedColumnFormula>IFERROR(VLOOKUP(Tabela5[[#This Row],[Produto]],Cálculos!$J$5:$M$33,3,FALSE),0)</calculatedColumnFormula>
    </tableColumn>
    <tableColumn id="7" xr3:uid="{F3DE8538-FCCF-4AE8-A450-4B4CCA536787}" name="Subtotal" dataDxfId="32">
      <calculatedColumnFormula>Tabela5[[#This Row],[Quantidade]]*Tabela5[[#This Row],[Preço Unitário]]</calculatedColumnFormula>
    </tableColumn>
    <tableColumn id="8" xr3:uid="{2794EDC4-B91B-4D9C-97E3-462ECB6AA328}" name="Desconto"/>
    <tableColumn id="9" xr3:uid="{0C974118-C660-4D9E-8454-BEAB7885206B}" name="Entrega"/>
    <tableColumn id="10" xr3:uid="{7004A7CF-0F5C-4B02-AF8F-45C2958A0DB1}" name="Valor de Entrega" dataDxfId="31">
      <calculatedColumnFormula>IFERROR(IF(Tabela5[[#This Row],[ID da Venda]]=B7,0,VLOOKUP(Tabela5[[#This Row],[Entrega]],Cálculos!$B$5:$C$9,2,FALSE)),0)</calculatedColumnFormula>
    </tableColumn>
    <tableColumn id="12" xr3:uid="{F2011467-0EFB-4BDB-B62E-6856F0A6C65B}" name="Total" dataDxfId="30">
      <calculatedColumnFormula>Tabela5[[#This Row],[Subtotal]]*(1-Tabela5[[#This Row],[Desconto]])+Tabela5[[#This Row],[Valor de Entrega]]</calculatedColumnFormula>
    </tableColumn>
    <tableColumn id="11" xr3:uid="{ED2C018C-3B25-4821-B248-04F1A4E6954C}" name="Total para o Cliente" dataDxfId="29">
      <calculatedColumnFormula>IF(Tabela5[[#This Row],[ID da Venda]]=B7,"",SUMIF(Tabela5[ID da Venda],Tabela5[[#This Row],[ID da Venda]],Tabela5[Total]))</calculatedColumnFormula>
    </tableColumn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F7CC3C-2756-4B68-BF68-5EA7B6BE2CFA}" name="Tabela57" displayName="Tabela57" ref="B5:M15" totalsRowShown="0">
  <autoFilter ref="B5:M15" xr:uid="{59F7CC3C-2756-4B68-BF68-5EA7B6BE2CFA}"/>
  <tableColumns count="12">
    <tableColumn id="1" xr3:uid="{252A201A-F8EA-4E5B-A280-2BD76CBF7181}" name="ID da Venda"/>
    <tableColumn id="2" xr3:uid="{DD0E36CB-4F89-48DD-9A0A-F1768F97A649}" name="Data" dataDxfId="28"/>
    <tableColumn id="3" xr3:uid="{D73598F7-E083-4E8C-ACF8-CFAF345F0716}" name="Produto"/>
    <tableColumn id="4" xr3:uid="{19145EB1-8A96-4EF2-B792-DA52046AFFF0}" name="Medida" dataDxfId="27">
      <calculatedColumnFormula>IFERROR(VLOOKUP(Tabela57[[#This Row],[Produto]],Cálculos!$J$5:$M$33,4,FALSE),"")</calculatedColumnFormula>
    </tableColumn>
    <tableColumn id="5" xr3:uid="{98E5B423-3DCF-43F5-A505-CEE4AD936893}" name="Quantidade"/>
    <tableColumn id="6" xr3:uid="{05A9941A-7B27-4343-8EFA-18D28ABF2DAD}" name="Preço Unitário" dataDxfId="26">
      <calculatedColumnFormula>IFERROR(VLOOKUP(Tabela57[[#This Row],[Produto]],Cálculos!$J$5:$M$33,3,FALSE),0)</calculatedColumnFormula>
    </tableColumn>
    <tableColumn id="7" xr3:uid="{02A19D19-BFE8-46CF-8D6F-5B8385D451EC}" name="Subtotal" dataDxfId="25">
      <calculatedColumnFormula>Tabela57[[#This Row],[Quantidade]]*Tabela57[[#This Row],[Preço Unitário]]</calculatedColumnFormula>
    </tableColumn>
    <tableColumn id="8" xr3:uid="{D3118E9F-10E1-4FCE-9035-C286795FA442}" name="Desconto"/>
    <tableColumn id="9" xr3:uid="{BE136878-E089-46FF-9016-6BD6D0FE64C9}" name="Entrega"/>
    <tableColumn id="10" xr3:uid="{539A5DE3-8299-4D9E-A9AB-2197A7AEB871}" name="Valor de Entrega" dataDxfId="24">
      <calculatedColumnFormula>IFERROR(VLOOKUP(Tabela57[[#This Row],[Entrega]],Cálculos!$B$5:$C$9,2,FALSE),0)</calculatedColumnFormula>
    </tableColumn>
    <tableColumn id="12" xr3:uid="{2B397F54-A874-4AC4-82EB-6747E3372735}" name="Total" dataDxfId="23">
      <calculatedColumnFormula>Tabela57[[#This Row],[Subtotal]]*(1-Tabela57[[#This Row],[Desconto]])+Tabela57[[#This Row],[Valor de Entrega]]</calculatedColumnFormula>
    </tableColumn>
    <tableColumn id="11" xr3:uid="{05B8A6B9-5AA7-49BE-A908-4150759021CF}" name="Total para o Cliente" dataDxfId="22">
      <calculatedColumnFormula>IF(Tabela57[[#This Row],[ID da Venda]]=B7,"",SUMIF(Tabela57[ID da Venda],Tabela57[[#This Row],[ID da Venda]],Tabela57[Total]))</calculatedColumnFormula>
    </tableColumn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C3564CC-72EB-48CA-BF30-AFD40D5B36FD}" name="Tabela58" displayName="Tabela58" ref="B5:M15" totalsRowShown="0">
  <autoFilter ref="B5:M15" xr:uid="{6C3564CC-72EB-48CA-BF30-AFD40D5B36FD}"/>
  <tableColumns count="12">
    <tableColumn id="1" xr3:uid="{DABF610E-CBC7-4884-BF56-013C9871D6AF}" name="ID da Venda"/>
    <tableColumn id="2" xr3:uid="{EC2C973C-25EE-4840-A012-90FB56668E37}" name="Data" dataDxfId="21"/>
    <tableColumn id="3" xr3:uid="{507C9ECC-C1AE-42C7-8019-236DE117D0BE}" name="Produto"/>
    <tableColumn id="4" xr3:uid="{CFA1B075-1A85-40E2-A0C4-E1D88C5ED922}" name="Medida" dataDxfId="20">
      <calculatedColumnFormula>IFERROR(VLOOKUP(Tabela58[[#This Row],[Produto]],Cálculos!$J$5:$M$33,4,FALSE),"")</calculatedColumnFormula>
    </tableColumn>
    <tableColumn id="5" xr3:uid="{797EF10D-A870-480E-8BF2-9EBF0385D56A}" name="Quantidade"/>
    <tableColumn id="6" xr3:uid="{44747AAC-B791-49C3-9266-EBE62F8223AA}" name="Preço Unitário" dataDxfId="19">
      <calculatedColumnFormula>IFERROR(VLOOKUP(Tabela58[[#This Row],[Produto]],Cálculos!$J$5:$M$33,3,FALSE),0)</calculatedColumnFormula>
    </tableColumn>
    <tableColumn id="7" xr3:uid="{943D55E1-F374-45AF-991A-40AC575E92EF}" name="Subtotal" dataDxfId="18">
      <calculatedColumnFormula>Tabela58[[#This Row],[Quantidade]]*Tabela58[[#This Row],[Preço Unitário]]</calculatedColumnFormula>
    </tableColumn>
    <tableColumn id="8" xr3:uid="{4BB03EA7-25B2-4D3B-B457-32B3A92D93A8}" name="Desconto"/>
    <tableColumn id="9" xr3:uid="{0C10E3BE-06AD-4ADF-8472-BF5A2F4560A7}" name="Entrega"/>
    <tableColumn id="10" xr3:uid="{E5DFFD6F-6829-404C-A24A-5E5DCC15BB97}" name="Valor de Entrega" dataDxfId="17">
      <calculatedColumnFormula>IFERROR(VLOOKUP(Tabela58[[#This Row],[Entrega]],Cálculos!$B$5:$C$9,2,FALSE),0)</calculatedColumnFormula>
    </tableColumn>
    <tableColumn id="12" xr3:uid="{FC294438-B445-4522-B93D-101CA85B926B}" name="Total" dataDxfId="16">
      <calculatedColumnFormula>Tabela58[[#This Row],[Subtotal]]*(1-Tabela58[[#This Row],[Desconto]])+Tabela58[[#This Row],[Valor de Entrega]]</calculatedColumnFormula>
    </tableColumn>
    <tableColumn id="11" xr3:uid="{DD1143B3-BB99-4298-9FA8-8CB91C7CA7D3}" name="Total para o Cliente" dataDxfId="15">
      <calculatedColumnFormula>IF(Tabela58[[#This Row],[ID da Venda]]=B7,"",SUMIF(Tabela58[ID da Venda],Tabela58[[#This Row],[ID da Venda]],Tabela58[Total]))</calculatedColumnFormula>
    </tableColumn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645BC71-E2E8-4C68-BEFE-1A8D8C285DD6}" name="Tabela59" displayName="Tabela59" ref="B5:M15" totalsRowShown="0">
  <autoFilter ref="B5:M15" xr:uid="{E645BC71-E2E8-4C68-BEFE-1A8D8C285DD6}"/>
  <tableColumns count="12">
    <tableColumn id="1" xr3:uid="{33D265D5-F2CE-415B-9239-6C4812F9DF41}" name="ID da Venda"/>
    <tableColumn id="2" xr3:uid="{634C66FE-FC72-4061-ACF6-5222CA166856}" name="Data" dataDxfId="14"/>
    <tableColumn id="3" xr3:uid="{8EA3C605-8787-43B6-BEB7-A1B1AA5DBD88}" name="Produto"/>
    <tableColumn id="4" xr3:uid="{3167DF8A-13DF-495A-A9E8-6C62C32AA3BD}" name="Medida" dataDxfId="13">
      <calculatedColumnFormula>IFERROR(VLOOKUP(Tabela59[[#This Row],[Produto]],Cálculos!$J$5:$M$33,4,FALSE),"")</calculatedColumnFormula>
    </tableColumn>
    <tableColumn id="5" xr3:uid="{BA7695BC-BC1F-44A9-8A34-343F718C5B79}" name="Quantidade"/>
    <tableColumn id="6" xr3:uid="{45A25E24-997B-4E2A-96F9-9380DAF1D299}" name="Preço Unitário" dataDxfId="12">
      <calculatedColumnFormula>IFERROR(VLOOKUP(Tabela59[[#This Row],[Produto]],Cálculos!$J$5:$M$33,3,FALSE),0)</calculatedColumnFormula>
    </tableColumn>
    <tableColumn id="7" xr3:uid="{54719B11-78AE-454E-9C43-2E08132D28A8}" name="Subtotal" dataDxfId="11">
      <calculatedColumnFormula>Tabela59[[#This Row],[Quantidade]]*Tabela59[[#This Row],[Preço Unitário]]</calculatedColumnFormula>
    </tableColumn>
    <tableColumn id="8" xr3:uid="{2E36C524-EC9C-4A19-8BB5-C74020E2BF52}" name="Desconto"/>
    <tableColumn id="9" xr3:uid="{FDCAC3EC-9265-4C9C-BEA3-6131BC4EF85A}" name="Entrega"/>
    <tableColumn id="10" xr3:uid="{D0FEE712-2A8C-4510-BA77-526A0BC40DDA}" name="Valor de Entrega" dataDxfId="10">
      <calculatedColumnFormula>IFERROR(VLOOKUP(Tabela59[[#This Row],[Entrega]],Cálculos!$B$5:$C$9,2,FALSE),0)</calculatedColumnFormula>
    </tableColumn>
    <tableColumn id="12" xr3:uid="{63702A62-CDFE-4E60-B37B-C33C2852B17A}" name="Total" dataDxfId="9">
      <calculatedColumnFormula>Tabela59[[#This Row],[Subtotal]]*(1-Tabela59[[#This Row],[Desconto]])+Tabela59[[#This Row],[Valor de Entrega]]</calculatedColumnFormula>
    </tableColumn>
    <tableColumn id="11" xr3:uid="{D7D71EA2-4FD8-4FFF-9B6E-4A82CD7BA79D}" name="Total para o Cliente" dataDxfId="8">
      <calculatedColumnFormula>IF(Tabela59[[#This Row],[ID da Venda]]=B7,"",SUMIF(Tabela59[ID da Venda],Tabela59[[#This Row],[ID da Venda]],Tabela59[Total]))</calculatedColumnFormula>
    </tableColumn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58D2A53-C0B1-411B-80C8-452479898B27}" name="Tabela510" displayName="Tabela510" ref="B5:M14" totalsRowShown="0">
  <autoFilter ref="B5:M14" xr:uid="{E58D2A53-C0B1-411B-80C8-452479898B27}"/>
  <tableColumns count="12">
    <tableColumn id="1" xr3:uid="{DBC38DAC-2EFC-4398-BF32-B92D3EC73143}" name="ID da Venda" dataDxfId="7"/>
    <tableColumn id="2" xr3:uid="{CF2BA80E-C08C-4CA2-A234-BAE74E90B78B}" name="Data" dataDxfId="6">
      <calculatedColumnFormula>TODAY()</calculatedColumnFormula>
    </tableColumn>
    <tableColumn id="3" xr3:uid="{3CD3991F-B9A3-45CC-B745-93EBBE0F1C2F}" name="Produto"/>
    <tableColumn id="4" xr3:uid="{157F666B-FC72-45ED-9733-F9652CE4DE37}" name="Medida" dataDxfId="5">
      <calculatedColumnFormula>IFERROR(VLOOKUP(Tabela510[[#This Row],[Produto]],Cálculos!$J$5:$M$33,4,FALSE),"")</calculatedColumnFormula>
    </tableColumn>
    <tableColumn id="5" xr3:uid="{A4E53A25-F85C-42A2-8C2F-49E90323878E}" name="Quantidade"/>
    <tableColumn id="6" xr3:uid="{340504A8-5D68-4610-8B30-0C5998565980}" name="Preço Unitário" dataDxfId="4">
      <calculatedColumnFormula>IFERROR(VLOOKUP(Tabela510[[#This Row],[Produto]],Cálculos!$J$5:$M$33,3,FALSE),0)</calculatedColumnFormula>
    </tableColumn>
    <tableColumn id="7" xr3:uid="{7C2A7E27-58A0-4DB0-AC8E-4A1ED0698CA5}" name="Subtotal" dataDxfId="3">
      <calculatedColumnFormula>Tabela510[[#This Row],[Quantidade]]*Tabela510[[#This Row],[Preço Unitário]]</calculatedColumnFormula>
    </tableColumn>
    <tableColumn id="8" xr3:uid="{3D58557C-DFC3-4080-9538-69F122E6FD6A}" name="Desconto"/>
    <tableColumn id="9" xr3:uid="{5D5E09C4-4A5D-4877-9ED3-47223F04F64F}" name="Entrega"/>
    <tableColumn id="10" xr3:uid="{B4A7D38D-6B28-4469-B178-BEF3EBC8C631}" name="Valor de Entrega" dataDxfId="2">
      <calculatedColumnFormula>IFERROR(VLOOKUP(Tabela510[[#This Row],[Entrega]],Cálculos!$B$5:$C$9,2,FALSE),0)</calculatedColumnFormula>
    </tableColumn>
    <tableColumn id="12" xr3:uid="{306026C6-B312-47F6-B3D3-8A99FA911DAD}" name="Total" dataDxfId="1">
      <calculatedColumnFormula>Tabela510[[#This Row],[Subtotal]]*(1-Tabela510[[#This Row],[Desconto]])+Tabela510[[#This Row],[Valor de Entrega]]</calculatedColumnFormula>
    </tableColumn>
    <tableColumn id="11" xr3:uid="{9002294D-C066-4DDB-9964-582C2C953EEB}" name="Total para o Cliente" dataDxfId="0">
      <calculatedColumnFormula>IF(Tabela510[[#This Row],[ID da Venda]]=B7,"",SUMIF(Tabela510[ID da Venda],Tabela510[[#This Row],[ID da Venda]],Tabela510[Total]))</calculatedColumnFormula>
    </tableColumn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4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4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showGridLines="0" workbookViewId="0">
      <selection activeCell="L16" sqref="L16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33"/>
  <sheetViews>
    <sheetView showGridLines="0" zoomScale="80" zoomScaleNormal="80" workbookViewId="0"/>
  </sheetViews>
  <sheetFormatPr defaultRowHeight="14.4" x14ac:dyDescent="0.3"/>
  <cols>
    <col min="2" max="2" width="44.5546875" bestFit="1" customWidth="1"/>
    <col min="3" max="3" width="24.21875" bestFit="1" customWidth="1"/>
    <col min="4" max="4" width="16.88671875" customWidth="1"/>
    <col min="5" max="5" width="26.5546875" customWidth="1"/>
    <col min="6" max="6" width="23.21875" customWidth="1"/>
    <col min="7" max="7" width="23.77734375" customWidth="1"/>
  </cols>
  <sheetData>
    <row r="2" spans="2:7" s="1" customFormat="1" ht="28.05" customHeight="1" x14ac:dyDescent="0.3">
      <c r="B2" s="2" t="s">
        <v>39</v>
      </c>
    </row>
    <row r="3" spans="2:7" ht="34.200000000000003" customHeight="1" x14ac:dyDescent="0.3"/>
    <row r="4" spans="2:7" x14ac:dyDescent="0.3">
      <c r="B4" t="s">
        <v>40</v>
      </c>
      <c r="C4" t="s">
        <v>41</v>
      </c>
      <c r="D4" t="s">
        <v>42</v>
      </c>
      <c r="E4" t="s">
        <v>43</v>
      </c>
      <c r="F4" t="s">
        <v>44</v>
      </c>
      <c r="G4" t="s">
        <v>45</v>
      </c>
    </row>
    <row r="5" spans="2:7" x14ac:dyDescent="0.3">
      <c r="B5" t="s">
        <v>3</v>
      </c>
      <c r="F5" s="3"/>
      <c r="G5" s="3">
        <v>1000</v>
      </c>
    </row>
    <row r="6" spans="2:7" x14ac:dyDescent="0.3">
      <c r="B6" t="s">
        <v>46</v>
      </c>
      <c r="F6" s="3"/>
      <c r="G6" s="3">
        <f>SUM(F7:F11)</f>
        <v>17500</v>
      </c>
    </row>
    <row r="7" spans="2:7" x14ac:dyDescent="0.3">
      <c r="C7" t="s">
        <v>9</v>
      </c>
      <c r="F7" s="3">
        <v>10000</v>
      </c>
      <c r="G7" s="3"/>
    </row>
    <row r="8" spans="2:7" x14ac:dyDescent="0.3">
      <c r="C8" t="s">
        <v>10</v>
      </c>
      <c r="F8" s="3">
        <v>500</v>
      </c>
      <c r="G8" s="3"/>
    </row>
    <row r="9" spans="2:7" x14ac:dyDescent="0.3">
      <c r="C9" t="s">
        <v>1</v>
      </c>
      <c r="F9" s="3">
        <v>3000</v>
      </c>
      <c r="G9" s="3"/>
    </row>
    <row r="10" spans="2:7" x14ac:dyDescent="0.3">
      <c r="C10" t="s">
        <v>11</v>
      </c>
      <c r="F10" s="3">
        <v>2500</v>
      </c>
      <c r="G10" s="3"/>
    </row>
    <row r="11" spans="2:7" x14ac:dyDescent="0.3">
      <c r="C11" t="s">
        <v>5</v>
      </c>
      <c r="E11" t="s">
        <v>52</v>
      </c>
      <c r="F11" s="3">
        <v>1500</v>
      </c>
      <c r="G11" s="3"/>
    </row>
    <row r="12" spans="2:7" x14ac:dyDescent="0.3">
      <c r="B12" t="s">
        <v>0</v>
      </c>
      <c r="F12" s="3"/>
      <c r="G12" s="3">
        <v>900</v>
      </c>
    </row>
    <row r="13" spans="2:7" x14ac:dyDescent="0.3">
      <c r="B13" t="s">
        <v>1</v>
      </c>
      <c r="F13" s="3"/>
      <c r="G13" s="3">
        <v>6000</v>
      </c>
    </row>
    <row r="14" spans="2:7" x14ac:dyDescent="0.3">
      <c r="B14" t="s">
        <v>51</v>
      </c>
      <c r="F14" s="3"/>
      <c r="G14" s="3">
        <f>SUM(F15:F19)</f>
        <v>5300</v>
      </c>
    </row>
    <row r="15" spans="2:7" x14ac:dyDescent="0.3">
      <c r="C15" t="s">
        <v>47</v>
      </c>
      <c r="F15" s="3">
        <v>800</v>
      </c>
      <c r="G15" s="3"/>
    </row>
    <row r="16" spans="2:7" x14ac:dyDescent="0.3">
      <c r="C16" t="s">
        <v>48</v>
      </c>
      <c r="F16" s="3">
        <v>3200</v>
      </c>
      <c r="G16" s="3"/>
    </row>
    <row r="17" spans="2:7" x14ac:dyDescent="0.3">
      <c r="C17" t="s">
        <v>49</v>
      </c>
      <c r="F17" s="3">
        <v>500</v>
      </c>
      <c r="G17" s="3"/>
    </row>
    <row r="18" spans="2:7" x14ac:dyDescent="0.3">
      <c r="C18" t="s">
        <v>50</v>
      </c>
      <c r="F18" s="3">
        <v>800</v>
      </c>
      <c r="G18" s="3"/>
    </row>
    <row r="19" spans="2:7" x14ac:dyDescent="0.3">
      <c r="C19" t="s">
        <v>5</v>
      </c>
      <c r="F19" s="3">
        <v>0</v>
      </c>
      <c r="G19" s="3"/>
    </row>
    <row r="20" spans="2:7" x14ac:dyDescent="0.3">
      <c r="B20" t="s">
        <v>2</v>
      </c>
      <c r="F20" s="3"/>
      <c r="G20" s="3">
        <v>300</v>
      </c>
    </row>
    <row r="21" spans="2:7" x14ac:dyDescent="0.3">
      <c r="B21" t="s">
        <v>13</v>
      </c>
      <c r="F21" s="3"/>
      <c r="G21" s="3">
        <f>SUM(F22:F27)</f>
        <v>11950</v>
      </c>
    </row>
    <row r="22" spans="2:7" x14ac:dyDescent="0.3">
      <c r="C22" t="s">
        <v>14</v>
      </c>
      <c r="F22" s="3">
        <v>1650</v>
      </c>
      <c r="G22" s="3"/>
    </row>
    <row r="23" spans="2:7" x14ac:dyDescent="0.3">
      <c r="C23" t="s">
        <v>15</v>
      </c>
      <c r="F23" s="3">
        <v>3000</v>
      </c>
      <c r="G23" s="3"/>
    </row>
    <row r="24" spans="2:7" x14ac:dyDescent="0.3">
      <c r="C24" t="s">
        <v>16</v>
      </c>
      <c r="F24" s="3">
        <v>3000</v>
      </c>
      <c r="G24" s="3"/>
    </row>
    <row r="25" spans="2:7" x14ac:dyDescent="0.3">
      <c r="C25" t="s">
        <v>17</v>
      </c>
      <c r="F25" s="3">
        <v>2700</v>
      </c>
      <c r="G25" s="3"/>
    </row>
    <row r="26" spans="2:7" x14ac:dyDescent="0.3">
      <c r="C26" t="s">
        <v>12</v>
      </c>
      <c r="F26" s="3">
        <v>1500</v>
      </c>
      <c r="G26" s="3"/>
    </row>
    <row r="27" spans="2:7" x14ac:dyDescent="0.3">
      <c r="C27" t="s">
        <v>5</v>
      </c>
      <c r="F27" s="3">
        <v>100</v>
      </c>
      <c r="G27" s="3"/>
    </row>
    <row r="28" spans="2:7" x14ac:dyDescent="0.3">
      <c r="B28" t="s">
        <v>4</v>
      </c>
      <c r="F28" s="3"/>
      <c r="G28" s="3">
        <v>1500</v>
      </c>
    </row>
    <row r="29" spans="2:7" x14ac:dyDescent="0.3">
      <c r="B29" t="s">
        <v>5</v>
      </c>
      <c r="G29" s="3">
        <v>957</v>
      </c>
    </row>
    <row r="31" spans="2:7" ht="21" x14ac:dyDescent="0.4">
      <c r="B31" s="4" t="s">
        <v>53</v>
      </c>
      <c r="C31" s="4"/>
      <c r="D31" s="4"/>
      <c r="E31" s="4"/>
      <c r="F31" s="4"/>
      <c r="G31" s="5">
        <f>SUM(Tabela1[Valor Final])</f>
        <v>45407</v>
      </c>
    </row>
    <row r="32" spans="2:7" ht="21" x14ac:dyDescent="0.4">
      <c r="B32" s="10" t="s">
        <v>85</v>
      </c>
      <c r="C32" s="10"/>
      <c r="D32" s="10"/>
      <c r="E32" s="10"/>
      <c r="F32" s="10"/>
      <c r="G32" s="11">
        <f>'Controle Mercadorias'!I29</f>
        <v>13999.922</v>
      </c>
    </row>
    <row r="33" spans="2:7" ht="21" x14ac:dyDescent="0.4">
      <c r="B33" s="12" t="s">
        <v>86</v>
      </c>
      <c r="C33" s="12"/>
      <c r="D33" s="12"/>
      <c r="E33" s="12"/>
      <c r="F33" s="12"/>
      <c r="G33" s="13">
        <f>SUM(G31:G32)</f>
        <v>59406.921999999999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29"/>
  <sheetViews>
    <sheetView showGridLines="0" workbookViewId="0"/>
  </sheetViews>
  <sheetFormatPr defaultRowHeight="14.4" x14ac:dyDescent="0.3"/>
  <cols>
    <col min="2" max="2" width="32.21875" bestFit="1" customWidth="1"/>
    <col min="3" max="3" width="30.21875" customWidth="1"/>
    <col min="4" max="5" width="18.6640625" customWidth="1"/>
    <col min="6" max="6" width="13.109375" bestFit="1" customWidth="1"/>
    <col min="7" max="7" width="19.88671875" customWidth="1"/>
    <col min="8" max="8" width="15" customWidth="1"/>
    <col min="9" max="9" width="24" customWidth="1"/>
  </cols>
  <sheetData>
    <row r="2" spans="2:9" s="1" customFormat="1" ht="28.05" customHeight="1" x14ac:dyDescent="0.3">
      <c r="B2" s="2" t="s">
        <v>147</v>
      </c>
    </row>
    <row r="3" spans="2:9" ht="34.200000000000003" customHeight="1" x14ac:dyDescent="0.3"/>
    <row r="5" spans="2:9" x14ac:dyDescent="0.3">
      <c r="B5" t="s">
        <v>42</v>
      </c>
      <c r="C5" t="s">
        <v>54</v>
      </c>
      <c r="D5" t="s">
        <v>55</v>
      </c>
      <c r="E5" t="s">
        <v>56</v>
      </c>
      <c r="F5" t="s">
        <v>57</v>
      </c>
      <c r="G5" t="s">
        <v>58</v>
      </c>
      <c r="H5" t="s">
        <v>59</v>
      </c>
      <c r="I5" t="s">
        <v>60</v>
      </c>
    </row>
    <row r="6" spans="2:9" x14ac:dyDescent="0.3">
      <c r="B6" s="7">
        <v>42190</v>
      </c>
      <c r="C6" t="s">
        <v>75</v>
      </c>
      <c r="D6" t="s">
        <v>33</v>
      </c>
      <c r="E6" t="str">
        <f>IFERROR(VLOOKUP(Tabela2[[#This Row],[Mercadoria]],Cálculos!$J$5:$M$33,4,FALSE),"")</f>
        <v>Unidade</v>
      </c>
      <c r="F6">
        <v>50</v>
      </c>
      <c r="G6" s="3">
        <f>IFERROR(VLOOKUP(Tabela2[[#This Row],[Mercadoria]],Cálculos!$J$5:$M$33,2,FALSE),0)</f>
        <v>2.3660000000000001</v>
      </c>
      <c r="H6" s="6">
        <v>0.05</v>
      </c>
      <c r="I6" s="3">
        <f>Tabela2[[#This Row],[Quantidade]]*Tabela2[[#This Row],[Preço Unitário]]*(1-Tabela2[[#This Row],[Desconto]])</f>
        <v>112.38500000000001</v>
      </c>
    </row>
    <row r="7" spans="2:9" x14ac:dyDescent="0.3">
      <c r="B7" s="7">
        <v>42190</v>
      </c>
      <c r="C7" t="s">
        <v>76</v>
      </c>
      <c r="D7" t="s">
        <v>19</v>
      </c>
      <c r="E7" t="str">
        <f>IFERROR(VLOOKUP(Tabela2[[#This Row],[Mercadoria]],Cálculos!$J$5:$M$33,4,FALSE),"")</f>
        <v>Kg</v>
      </c>
      <c r="F7">
        <v>120</v>
      </c>
      <c r="G7" s="3">
        <f>IFERROR(VLOOKUP(Tabela2[[#This Row],[Mercadoria]],Cálculos!$J$5:$M$33,2,FALSE),0)</f>
        <v>4.0659999999999998</v>
      </c>
      <c r="H7" s="6"/>
      <c r="I7" s="3">
        <f>Tabela2[[#This Row],[Quantidade]]*Tabela2[[#This Row],[Preço Unitário]]*(1-Tabela2[[#This Row],[Desconto]])</f>
        <v>487.91999999999996</v>
      </c>
    </row>
    <row r="8" spans="2:9" x14ac:dyDescent="0.3">
      <c r="B8" s="7">
        <v>42189</v>
      </c>
      <c r="C8" t="s">
        <v>76</v>
      </c>
      <c r="D8" t="s">
        <v>19</v>
      </c>
      <c r="E8" t="str">
        <f>IFERROR(VLOOKUP(Tabela2[[#This Row],[Mercadoria]],Cálculos!$J$5:$M$33,4,FALSE),"")</f>
        <v>Kg</v>
      </c>
      <c r="F8">
        <v>150</v>
      </c>
      <c r="G8" s="3">
        <f>IFERROR(VLOOKUP(Tabela2[[#This Row],[Mercadoria]],Cálculos!$J$5:$M$33,2,FALSE),0)</f>
        <v>4.0659999999999998</v>
      </c>
      <c r="H8" s="6"/>
      <c r="I8" s="3">
        <f>Tabela2[[#This Row],[Quantidade]]*Tabela2[[#This Row],[Preço Unitário]]*(1-Tabela2[[#This Row],[Desconto]])</f>
        <v>609.9</v>
      </c>
    </row>
    <row r="9" spans="2:9" x14ac:dyDescent="0.3">
      <c r="B9" s="7">
        <v>42189</v>
      </c>
      <c r="C9" t="s">
        <v>76</v>
      </c>
      <c r="D9" t="s">
        <v>18</v>
      </c>
      <c r="E9" t="str">
        <f>IFERROR(VLOOKUP(Tabela2[[#This Row],[Mercadoria]],Cálculos!$J$5:$M$33,4,FALSE),"")</f>
        <v>Kg</v>
      </c>
      <c r="F9">
        <v>150</v>
      </c>
      <c r="G9" s="3">
        <f>IFERROR(VLOOKUP(Tabela2[[#This Row],[Mercadoria]],Cálculos!$J$5:$M$33,2,FALSE),0)</f>
        <v>2.3406000000000002</v>
      </c>
      <c r="H9" s="6"/>
      <c r="I9" s="3">
        <f>Tabela2[[#This Row],[Quantidade]]*Tabela2[[#This Row],[Preço Unitário]]*(1-Tabela2[[#This Row],[Desconto]])</f>
        <v>351.09000000000003</v>
      </c>
    </row>
    <row r="10" spans="2:9" x14ac:dyDescent="0.3">
      <c r="B10" s="7">
        <v>42189</v>
      </c>
      <c r="C10" t="s">
        <v>77</v>
      </c>
      <c r="D10" t="s">
        <v>31</v>
      </c>
      <c r="E10" t="str">
        <f>IFERROR(VLOOKUP(Tabela2[[#This Row],[Mercadoria]],Cálculos!$J$5:$M$33,4,FALSE),"")</f>
        <v>Lata</v>
      </c>
      <c r="F10">
        <v>100</v>
      </c>
      <c r="G10" s="3">
        <f>IFERROR(VLOOKUP(Tabela2[[#This Row],[Mercadoria]],Cálculos!$J$5:$M$33,2,FALSE),0)</f>
        <v>2.1023999999999998</v>
      </c>
      <c r="H10" s="6"/>
      <c r="I10" s="3">
        <f>Tabela2[[#This Row],[Quantidade]]*Tabela2[[#This Row],[Preço Unitário]]*(1-Tabela2[[#This Row],[Desconto]])</f>
        <v>210.23999999999998</v>
      </c>
    </row>
    <row r="11" spans="2:9" x14ac:dyDescent="0.3">
      <c r="B11" s="7">
        <v>42189</v>
      </c>
      <c r="C11" t="s">
        <v>77</v>
      </c>
      <c r="D11" t="s">
        <v>27</v>
      </c>
      <c r="E11" t="str">
        <f>IFERROR(VLOOKUP(Tabela2[[#This Row],[Mercadoria]],Cálculos!$J$5:$M$33,4,FALSE),"")</f>
        <v>Litro</v>
      </c>
      <c r="F11">
        <v>200</v>
      </c>
      <c r="G11" s="3">
        <f>IFERROR(VLOOKUP(Tabela2[[#This Row],[Mercadoria]],Cálculos!$J$5:$M$33,2,FALSE),0)</f>
        <v>3.2084999999999999</v>
      </c>
      <c r="H11" s="6"/>
      <c r="I11" s="3">
        <f>Tabela2[[#This Row],[Quantidade]]*Tabela2[[#This Row],[Preço Unitário]]*(1-Tabela2[[#This Row],[Desconto]])</f>
        <v>641.69999999999993</v>
      </c>
    </row>
    <row r="12" spans="2:9" x14ac:dyDescent="0.3">
      <c r="B12" s="7">
        <v>42188</v>
      </c>
      <c r="C12" t="s">
        <v>78</v>
      </c>
      <c r="D12" t="s">
        <v>37</v>
      </c>
      <c r="E12" t="str">
        <f>IFERROR(VLOOKUP(Tabela2[[#This Row],[Mercadoria]],Cálculos!$J$5:$M$33,4,FALSE),"")</f>
        <v>Maço</v>
      </c>
      <c r="F12">
        <v>100</v>
      </c>
      <c r="G12" s="3">
        <f>IFERROR(VLOOKUP(Tabela2[[#This Row],[Mercadoria]],Cálculos!$J$5:$M$33,2,FALSE),0)</f>
        <v>6.3449999999999998</v>
      </c>
      <c r="H12" s="6"/>
      <c r="I12" s="3">
        <f>Tabela2[[#This Row],[Quantidade]]*Tabela2[[#This Row],[Preço Unitário]]*(1-Tabela2[[#This Row],[Desconto]])</f>
        <v>634.5</v>
      </c>
    </row>
    <row r="13" spans="2:9" x14ac:dyDescent="0.3">
      <c r="B13" s="7">
        <v>42188</v>
      </c>
      <c r="C13" t="s">
        <v>79</v>
      </c>
      <c r="D13" t="s">
        <v>36</v>
      </c>
      <c r="E13" t="str">
        <f>IFERROR(VLOOKUP(Tabela2[[#This Row],[Mercadoria]],Cálculos!$J$5:$M$33,4,FALSE),"")</f>
        <v>Barra</v>
      </c>
      <c r="F13">
        <v>100</v>
      </c>
      <c r="G13" s="3">
        <f>IFERROR(VLOOKUP(Tabela2[[#This Row],[Mercadoria]],Cálculos!$J$5:$M$33,2,FALSE),0)</f>
        <v>4.5409000000000006</v>
      </c>
      <c r="H13" s="6"/>
      <c r="I13" s="3">
        <f>Tabela2[[#This Row],[Quantidade]]*Tabela2[[#This Row],[Preço Unitário]]*(1-Tabela2[[#This Row],[Desconto]])</f>
        <v>454.09000000000003</v>
      </c>
    </row>
    <row r="14" spans="2:9" x14ac:dyDescent="0.3">
      <c r="B14" s="7">
        <v>42188</v>
      </c>
      <c r="C14" t="s">
        <v>76</v>
      </c>
      <c r="D14" t="s">
        <v>19</v>
      </c>
      <c r="E14" t="str">
        <f>IFERROR(VLOOKUP(Tabela2[[#This Row],[Mercadoria]],Cálculos!$J$5:$M$33,4,FALSE),"")</f>
        <v>Kg</v>
      </c>
      <c r="F14">
        <v>300</v>
      </c>
      <c r="G14" s="3">
        <f>IFERROR(VLOOKUP(Tabela2[[#This Row],[Mercadoria]],Cálculos!$J$5:$M$33,2,FALSE),0)</f>
        <v>4.0659999999999998</v>
      </c>
      <c r="H14" s="6">
        <v>0.03</v>
      </c>
      <c r="I14" s="3">
        <f>Tabela2[[#This Row],[Quantidade]]*Tabela2[[#This Row],[Preço Unitário]]*(1-Tabela2[[#This Row],[Desconto]])</f>
        <v>1183.2059999999999</v>
      </c>
    </row>
    <row r="15" spans="2:9" x14ac:dyDescent="0.3">
      <c r="B15" s="7">
        <v>42188</v>
      </c>
      <c r="C15" t="s">
        <v>76</v>
      </c>
      <c r="D15" t="s">
        <v>30</v>
      </c>
      <c r="E15" t="str">
        <f>IFERROR(VLOOKUP(Tabela2[[#This Row],[Mercadoria]],Cálculos!$J$5:$M$33,4,FALSE),"")</f>
        <v>Pacote</v>
      </c>
      <c r="F15">
        <v>50</v>
      </c>
      <c r="G15" s="3">
        <f>IFERROR(VLOOKUP(Tabela2[[#This Row],[Mercadoria]],Cálculos!$J$5:$M$33,2,FALSE),0)</f>
        <v>1.0580000000000001</v>
      </c>
      <c r="H15" s="6"/>
      <c r="I15" s="3">
        <f>Tabela2[[#This Row],[Quantidade]]*Tabela2[[#This Row],[Preço Unitário]]*(1-Tabela2[[#This Row],[Desconto]])</f>
        <v>52.900000000000006</v>
      </c>
    </row>
    <row r="16" spans="2:9" x14ac:dyDescent="0.3">
      <c r="B16" s="7">
        <v>42188</v>
      </c>
      <c r="C16" t="s">
        <v>80</v>
      </c>
      <c r="D16" t="s">
        <v>72</v>
      </c>
      <c r="E16" t="str">
        <f>IFERROR(VLOOKUP(Tabela2[[#This Row],[Mercadoria]],Cálculos!$J$5:$M$33,4,FALSE),"")</f>
        <v>Unidade</v>
      </c>
      <c r="F16">
        <v>300</v>
      </c>
      <c r="G16" s="3">
        <f>IFERROR(VLOOKUP(Tabela2[[#This Row],[Mercadoria]],Cálculos!$J$5:$M$33,2,FALSE),0)</f>
        <v>2.6299000000000001</v>
      </c>
      <c r="H16" s="6"/>
      <c r="I16" s="3">
        <f>Tabela2[[#This Row],[Quantidade]]*Tabela2[[#This Row],[Preço Unitário]]*(1-Tabela2[[#This Row],[Desconto]])</f>
        <v>788.97</v>
      </c>
    </row>
    <row r="17" spans="2:9" x14ac:dyDescent="0.3">
      <c r="B17" s="7">
        <v>42188</v>
      </c>
      <c r="C17" t="s">
        <v>79</v>
      </c>
      <c r="D17" t="s">
        <v>35</v>
      </c>
      <c r="E17" t="str">
        <f>IFERROR(VLOOKUP(Tabela2[[#This Row],[Mercadoria]],Cálculos!$J$5:$M$33,4,FALSE),"")</f>
        <v>Pacote</v>
      </c>
      <c r="F17">
        <v>100</v>
      </c>
      <c r="G17" s="3">
        <f>IFERROR(VLOOKUP(Tabela2[[#This Row],[Mercadoria]],Cálculos!$J$5:$M$33,2,FALSE),0)</f>
        <v>1.8506999999999998</v>
      </c>
      <c r="H17" s="6"/>
      <c r="I17" s="3">
        <f>Tabela2[[#This Row],[Quantidade]]*Tabela2[[#This Row],[Preço Unitário]]*(1-Tabela2[[#This Row],[Desconto]])</f>
        <v>185.07</v>
      </c>
    </row>
    <row r="18" spans="2:9" x14ac:dyDescent="0.3">
      <c r="B18" s="7">
        <v>42188</v>
      </c>
      <c r="C18" t="s">
        <v>77</v>
      </c>
      <c r="D18" t="s">
        <v>31</v>
      </c>
      <c r="E18" t="str">
        <f>IFERROR(VLOOKUP(Tabela2[[#This Row],[Mercadoria]],Cálculos!$J$5:$M$33,4,FALSE),"")</f>
        <v>Lata</v>
      </c>
      <c r="F18">
        <v>100</v>
      </c>
      <c r="G18" s="3">
        <f>IFERROR(VLOOKUP(Tabela2[[#This Row],[Mercadoria]],Cálculos!$J$5:$M$33,2,FALSE),0)</f>
        <v>2.1023999999999998</v>
      </c>
      <c r="H18" s="6"/>
      <c r="I18" s="3">
        <f>Tabela2[[#This Row],[Quantidade]]*Tabela2[[#This Row],[Preço Unitário]]*(1-Tabela2[[#This Row],[Desconto]])</f>
        <v>210.23999999999998</v>
      </c>
    </row>
    <row r="19" spans="2:9" x14ac:dyDescent="0.3">
      <c r="B19" s="7">
        <v>42188</v>
      </c>
      <c r="C19" t="s">
        <v>81</v>
      </c>
      <c r="D19" t="s">
        <v>23</v>
      </c>
      <c r="E19" t="str">
        <f>IFERROR(VLOOKUP(Tabela2[[#This Row],[Mercadoria]],Cálculos!$J$5:$M$33,4,FALSE),"")</f>
        <v>Kg</v>
      </c>
      <c r="F19">
        <v>110</v>
      </c>
      <c r="G19" s="3">
        <f>IFERROR(VLOOKUP(Tabela2[[#This Row],[Mercadoria]],Cálculos!$J$5:$M$33,2,FALSE),0)</f>
        <v>6.4215999999999998</v>
      </c>
      <c r="H19" s="6"/>
      <c r="I19" s="3">
        <f>Tabela2[[#This Row],[Quantidade]]*Tabela2[[#This Row],[Preço Unitário]]*(1-Tabela2[[#This Row],[Desconto]])</f>
        <v>706.37599999999998</v>
      </c>
    </row>
    <row r="20" spans="2:9" x14ac:dyDescent="0.3">
      <c r="B20" s="7">
        <v>42188</v>
      </c>
      <c r="C20" t="s">
        <v>82</v>
      </c>
      <c r="D20" t="s">
        <v>24</v>
      </c>
      <c r="E20" t="str">
        <f>IFERROR(VLOOKUP(Tabela2[[#This Row],[Mercadoria]],Cálculos!$J$5:$M$33,4,FALSE),"")</f>
        <v>Kg</v>
      </c>
      <c r="F20">
        <v>50</v>
      </c>
      <c r="G20" s="3">
        <f>IFERROR(VLOOKUP(Tabela2[[#This Row],[Mercadoria]],Cálculos!$J$5:$M$33,2,FALSE),0)</f>
        <v>22.226999999999997</v>
      </c>
      <c r="H20" s="6">
        <v>0.1</v>
      </c>
      <c r="I20" s="3">
        <f>Tabela2[[#This Row],[Quantidade]]*Tabela2[[#This Row],[Preço Unitário]]*(1-Tabela2[[#This Row],[Desconto]])</f>
        <v>1000.2149999999999</v>
      </c>
    </row>
    <row r="21" spans="2:9" x14ac:dyDescent="0.3">
      <c r="B21" s="7">
        <v>42187</v>
      </c>
      <c r="C21" t="s">
        <v>76</v>
      </c>
      <c r="D21" t="s">
        <v>18</v>
      </c>
      <c r="E21" t="str">
        <f>IFERROR(VLOOKUP(Tabela2[[#This Row],[Mercadoria]],Cálculos!$J$5:$M$33,4,FALSE),"")</f>
        <v>Kg</v>
      </c>
      <c r="F21">
        <v>300</v>
      </c>
      <c r="G21" s="3">
        <f>IFERROR(VLOOKUP(Tabela2[[#This Row],[Mercadoria]],Cálculos!$J$5:$M$33,2,FALSE),0)</f>
        <v>2.3406000000000002</v>
      </c>
      <c r="H21" s="6"/>
      <c r="I21" s="3">
        <f>Tabela2[[#This Row],[Quantidade]]*Tabela2[[#This Row],[Preço Unitário]]*(1-Tabela2[[#This Row],[Desconto]])</f>
        <v>702.18000000000006</v>
      </c>
    </row>
    <row r="22" spans="2:9" x14ac:dyDescent="0.3">
      <c r="B22" s="7">
        <v>42187</v>
      </c>
      <c r="C22" t="s">
        <v>75</v>
      </c>
      <c r="D22" t="s">
        <v>21</v>
      </c>
      <c r="E22" t="str">
        <f>IFERROR(VLOOKUP(Tabela2[[#This Row],[Mercadoria]],Cálculos!$J$5:$M$33,4,FALSE),"")</f>
        <v>Unidade</v>
      </c>
      <c r="F22">
        <v>150</v>
      </c>
      <c r="G22" s="3">
        <f>IFERROR(VLOOKUP(Tabela2[[#This Row],[Mercadoria]],Cálculos!$J$5:$M$33,2,FALSE),0)</f>
        <v>2.8405</v>
      </c>
      <c r="H22" s="6"/>
      <c r="I22" s="3">
        <f>Tabela2[[#This Row],[Quantidade]]*Tabela2[[#This Row],[Preço Unitário]]*(1-Tabela2[[#This Row],[Desconto]])</f>
        <v>426.07499999999999</v>
      </c>
    </row>
    <row r="23" spans="2:9" x14ac:dyDescent="0.3">
      <c r="B23" s="7">
        <v>42187</v>
      </c>
      <c r="C23" t="s">
        <v>83</v>
      </c>
      <c r="D23" t="s">
        <v>28</v>
      </c>
      <c r="E23" t="str">
        <f>IFERROR(VLOOKUP(Tabela2[[#This Row],[Mercadoria]],Cálculos!$J$5:$M$33,4,FALSE),"")</f>
        <v>Kg</v>
      </c>
      <c r="F23">
        <v>150</v>
      </c>
      <c r="G23" s="3">
        <f>IFERROR(VLOOKUP(Tabela2[[#This Row],[Mercadoria]],Cálculos!$J$5:$M$33,2,FALSE),0)</f>
        <v>3.6309000000000005</v>
      </c>
      <c r="H23" s="6"/>
      <c r="I23" s="3">
        <f>Tabela2[[#This Row],[Quantidade]]*Tabela2[[#This Row],[Preço Unitário]]*(1-Tabela2[[#This Row],[Desconto]])</f>
        <v>544.6350000000001</v>
      </c>
    </row>
    <row r="24" spans="2:9" x14ac:dyDescent="0.3">
      <c r="B24" s="7">
        <v>42187</v>
      </c>
      <c r="C24" t="s">
        <v>84</v>
      </c>
      <c r="D24" t="s">
        <v>22</v>
      </c>
      <c r="E24" t="str">
        <f>IFERROR(VLOOKUP(Tabela2[[#This Row],[Mercadoria]],Cálculos!$J$5:$M$33,4,FALSE),"")</f>
        <v>Kg</v>
      </c>
      <c r="F24">
        <v>150</v>
      </c>
      <c r="G24" s="3">
        <f>IFERROR(VLOOKUP(Tabela2[[#This Row],[Mercadoria]],Cálculos!$J$5:$M$33,2,FALSE),0)</f>
        <v>14.469000000000001</v>
      </c>
      <c r="H24" s="6"/>
      <c r="I24" s="3">
        <f>Tabela2[[#This Row],[Quantidade]]*Tabela2[[#This Row],[Preço Unitário]]*(1-Tabela2[[#This Row],[Desconto]])</f>
        <v>2170.3500000000004</v>
      </c>
    </row>
    <row r="25" spans="2:9" x14ac:dyDescent="0.3">
      <c r="B25" s="7">
        <v>42187</v>
      </c>
      <c r="C25" t="s">
        <v>77</v>
      </c>
      <c r="D25" t="s">
        <v>31</v>
      </c>
      <c r="E25" t="str">
        <f>IFERROR(VLOOKUP(Tabela2[[#This Row],[Mercadoria]],Cálculos!$J$5:$M$33,4,FALSE),"")</f>
        <v>Lata</v>
      </c>
      <c r="F25">
        <v>100</v>
      </c>
      <c r="G25" s="3">
        <f>IFERROR(VLOOKUP(Tabela2[[#This Row],[Mercadoria]],Cálculos!$J$5:$M$33,2,FALSE),0)</f>
        <v>2.1023999999999998</v>
      </c>
      <c r="H25" s="6"/>
      <c r="I25" s="3">
        <f>Tabela2[[#This Row],[Quantidade]]*Tabela2[[#This Row],[Preço Unitário]]*(1-Tabela2[[#This Row],[Desconto]])</f>
        <v>210.23999999999998</v>
      </c>
    </row>
    <row r="26" spans="2:9" x14ac:dyDescent="0.3">
      <c r="B26" s="7">
        <v>42187</v>
      </c>
      <c r="C26" t="s">
        <v>77</v>
      </c>
      <c r="D26" t="s">
        <v>26</v>
      </c>
      <c r="E26" t="str">
        <f>IFERROR(VLOOKUP(Tabela2[[#This Row],[Mercadoria]],Cálculos!$J$5:$M$33,4,FALSE),"")</f>
        <v>Garrafa</v>
      </c>
      <c r="F26">
        <v>80</v>
      </c>
      <c r="G26" s="3">
        <f>IFERROR(VLOOKUP(Tabela2[[#This Row],[Mercadoria]],Cálculos!$J$5:$M$33,2,FALSE),0)</f>
        <v>26.012999999999998</v>
      </c>
      <c r="H26" s="6"/>
      <c r="I26" s="3">
        <f>Tabela2[[#This Row],[Quantidade]]*Tabela2[[#This Row],[Preço Unitário]]*(1-Tabela2[[#This Row],[Desconto]])</f>
        <v>2081.04</v>
      </c>
    </row>
    <row r="27" spans="2:9" x14ac:dyDescent="0.3">
      <c r="B27" s="7">
        <v>42187</v>
      </c>
      <c r="C27" t="s">
        <v>75</v>
      </c>
      <c r="D27" t="s">
        <v>33</v>
      </c>
      <c r="E27" t="str">
        <f>IFERROR(VLOOKUP(Tabela2[[#This Row],[Mercadoria]],Cálculos!$J$5:$M$33,4,FALSE),"")</f>
        <v>Unidade</v>
      </c>
      <c r="F27">
        <v>100</v>
      </c>
      <c r="G27" s="3">
        <f>IFERROR(VLOOKUP(Tabela2[[#This Row],[Mercadoria]],Cálculos!$J$5:$M$33,2,FALSE),0)</f>
        <v>2.3660000000000001</v>
      </c>
      <c r="H27" s="6"/>
      <c r="I27" s="3">
        <f>Tabela2[[#This Row],[Quantidade]]*Tabela2[[#This Row],[Preço Unitário]]*(1-Tabela2[[#This Row],[Desconto]])</f>
        <v>236.60000000000002</v>
      </c>
    </row>
    <row r="29" spans="2:9" ht="21" x14ac:dyDescent="0.4">
      <c r="B29" s="10" t="s">
        <v>85</v>
      </c>
      <c r="C29" s="10"/>
      <c r="D29" s="10"/>
      <c r="E29" s="10"/>
      <c r="F29" s="10"/>
      <c r="G29" s="10"/>
      <c r="H29" s="10"/>
      <c r="I29" s="11">
        <f>SUM(Tabela2[Valor Pago])</f>
        <v>13999.922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E11"/>
  <sheetViews>
    <sheetView showGridLines="0" workbookViewId="0">
      <selection activeCell="B22" sqref="B22"/>
    </sheetView>
  </sheetViews>
  <sheetFormatPr defaultRowHeight="14.4" x14ac:dyDescent="0.3"/>
  <cols>
    <col min="2" max="2" width="50.6640625" bestFit="1" customWidth="1"/>
    <col min="3" max="3" width="20.44140625" customWidth="1"/>
    <col min="4" max="4" width="52.109375" customWidth="1"/>
    <col min="5" max="5" width="32.33203125" customWidth="1"/>
  </cols>
  <sheetData>
    <row r="2" spans="2:5" s="1" customFormat="1" ht="28.05" customHeight="1" x14ac:dyDescent="0.3">
      <c r="B2" s="2" t="s">
        <v>7</v>
      </c>
    </row>
    <row r="3" spans="2:5" ht="34.200000000000003" customHeight="1" x14ac:dyDescent="0.3"/>
    <row r="4" spans="2:5" x14ac:dyDescent="0.3">
      <c r="B4" t="s">
        <v>87</v>
      </c>
      <c r="C4" t="s">
        <v>42</v>
      </c>
      <c r="D4" t="s">
        <v>88</v>
      </c>
      <c r="E4" t="s">
        <v>89</v>
      </c>
    </row>
    <row r="5" spans="2:5" ht="33" customHeight="1" x14ac:dyDescent="0.3">
      <c r="B5" t="s">
        <v>90</v>
      </c>
      <c r="C5" s="7">
        <v>42129</v>
      </c>
      <c r="D5" s="14" t="s">
        <v>92</v>
      </c>
      <c r="E5" s="3">
        <v>400000</v>
      </c>
    </row>
    <row r="6" spans="2:5" ht="27.6" customHeight="1" x14ac:dyDescent="0.3">
      <c r="B6" t="s">
        <v>12</v>
      </c>
      <c r="C6" s="7"/>
      <c r="D6" s="14"/>
      <c r="E6" s="3">
        <v>0</v>
      </c>
    </row>
    <row r="7" spans="2:5" ht="25.8" customHeight="1" x14ac:dyDescent="0.3">
      <c r="B7" t="s">
        <v>146</v>
      </c>
      <c r="C7" s="7"/>
      <c r="D7" s="14"/>
      <c r="E7" s="3">
        <v>0</v>
      </c>
    </row>
    <row r="8" spans="2:5" ht="24" customHeight="1" x14ac:dyDescent="0.3">
      <c r="B8" t="s">
        <v>91</v>
      </c>
      <c r="C8" s="7"/>
      <c r="D8" s="14"/>
      <c r="E8" s="3">
        <v>0</v>
      </c>
    </row>
    <row r="9" spans="2:5" ht="26.4" customHeight="1" x14ac:dyDescent="0.3">
      <c r="B9" t="s">
        <v>5</v>
      </c>
      <c r="C9" s="7"/>
      <c r="D9" s="14"/>
      <c r="E9" s="3">
        <v>0</v>
      </c>
    </row>
    <row r="11" spans="2:5" ht="21" x14ac:dyDescent="0.4">
      <c r="B11" s="10" t="s">
        <v>143</v>
      </c>
      <c r="C11" s="10"/>
      <c r="D11" s="10"/>
      <c r="E11" s="11">
        <f>SUM(Tabela3[Valor])</f>
        <v>400000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H28"/>
  <sheetViews>
    <sheetView showGridLines="0" tabSelected="1" workbookViewId="0"/>
  </sheetViews>
  <sheetFormatPr defaultRowHeight="14.4" x14ac:dyDescent="0.3"/>
  <cols>
    <col min="2" max="2" width="29.77734375" bestFit="1" customWidth="1"/>
    <col min="3" max="3" width="27.21875" customWidth="1"/>
    <col min="4" max="4" width="22.21875" customWidth="1"/>
    <col min="5" max="5" width="24.33203125" customWidth="1"/>
    <col min="6" max="6" width="22.33203125" customWidth="1"/>
    <col min="7" max="7" width="19.88671875" customWidth="1"/>
    <col min="8" max="8" width="16.77734375" customWidth="1"/>
  </cols>
  <sheetData>
    <row r="2" spans="2:8" s="16" customFormat="1" ht="28.05" customHeight="1" x14ac:dyDescent="0.3">
      <c r="B2" s="15" t="s">
        <v>8</v>
      </c>
    </row>
    <row r="3" spans="2:8" ht="34.200000000000003" customHeight="1" x14ac:dyDescent="0.3"/>
    <row r="4" spans="2:8" x14ac:dyDescent="0.3">
      <c r="B4" t="s">
        <v>93</v>
      </c>
      <c r="C4" t="s">
        <v>94</v>
      </c>
      <c r="D4" t="s">
        <v>95</v>
      </c>
      <c r="E4" t="s">
        <v>96</v>
      </c>
      <c r="F4" t="s">
        <v>97</v>
      </c>
      <c r="G4" t="s">
        <v>98</v>
      </c>
      <c r="H4" t="s">
        <v>99</v>
      </c>
    </row>
    <row r="5" spans="2:8" x14ac:dyDescent="0.3">
      <c r="B5" t="s">
        <v>21</v>
      </c>
      <c r="C5" s="7">
        <f>IFERROR(INDEX(Tabela2[],MATCH(Tabela4[[#This Row],[Produto]],Tabela2[Mercadoria],0),1),"")</f>
        <v>42187</v>
      </c>
      <c r="D5">
        <v>15</v>
      </c>
      <c r="E5">
        <f>SUMIF(Tabela2[Mercadoria],Tabela4[[#This Row],[Produto]],Tabela2[Quantidade])</f>
        <v>150</v>
      </c>
      <c r="F5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3</v>
      </c>
      <c r="G5">
        <f>Tabela4[[#This Row],[Quantidade Inicial]]+Tabela4[[#This Row],[Quantidade Comprada]]-Tabela4[[#This Row],[Quantidade Vendida]]</f>
        <v>162</v>
      </c>
      <c r="H5" t="str">
        <f>IF(Tabela4[[#This Row],[Quantidade Atual]]&lt;50,IF(Tabela4[[#This Row],[Quantidade Atual]]&lt;21,"Comprar","Atenção"),"OK")</f>
        <v>OK</v>
      </c>
    </row>
    <row r="6" spans="2:8" x14ac:dyDescent="0.3">
      <c r="B6" t="s">
        <v>30</v>
      </c>
      <c r="C6" s="7">
        <f>IFERROR(INDEX(Tabela2[],MATCH(Tabela4[[#This Row],[Produto]],Tabela2[Mercadoria],0),1),"")</f>
        <v>42188</v>
      </c>
      <c r="D6">
        <v>10</v>
      </c>
      <c r="E6">
        <f>SUMIF(Tabela2[Mercadoria],Tabela4[[#This Row],[Produto]],Tabela2[Quantidade])</f>
        <v>50</v>
      </c>
      <c r="F6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3</v>
      </c>
      <c r="G6">
        <f>Tabela4[[#This Row],[Quantidade Inicial]]+Tabela4[[#This Row],[Quantidade Comprada]]-Tabela4[[#This Row],[Quantidade Vendida]]</f>
        <v>57</v>
      </c>
      <c r="H6" t="str">
        <f>IF(Tabela4[[#This Row],[Quantidade Atual]]&lt;50,IF(Tabela4[[#This Row],[Quantidade Atual]]&lt;21,"Comprar","Atenção"),"OK")</f>
        <v>OK</v>
      </c>
    </row>
    <row r="7" spans="2:8" x14ac:dyDescent="0.3">
      <c r="B7" t="s">
        <v>18</v>
      </c>
      <c r="C7" s="7">
        <f>IFERROR(INDEX(Tabela2[],MATCH(Tabela4[[#This Row],[Produto]],Tabela2[Mercadoria],0),1),"")</f>
        <v>42189</v>
      </c>
      <c r="D7">
        <v>0</v>
      </c>
      <c r="E7">
        <f>SUMIF(Tabela2[Mercadoria],Tabela4[[#This Row],[Produto]],Tabela2[Quantidade])</f>
        <v>450</v>
      </c>
      <c r="F7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7</v>
      </c>
      <c r="G7">
        <f>Tabela4[[#This Row],[Quantidade Inicial]]+Tabela4[[#This Row],[Quantidade Comprada]]-Tabela4[[#This Row],[Quantidade Vendida]]</f>
        <v>443</v>
      </c>
      <c r="H7" t="str">
        <f>IF(Tabela4[[#This Row],[Quantidade Atual]]&lt;50,IF(Tabela4[[#This Row],[Quantidade Atual]]&lt;21,"Comprar","Atenção"),"OK")</f>
        <v>OK</v>
      </c>
    </row>
    <row r="8" spans="2:8" x14ac:dyDescent="0.3">
      <c r="B8" t="s">
        <v>35</v>
      </c>
      <c r="C8" s="7">
        <f>IFERROR(INDEX(Tabela2[],MATCH(Tabela4[[#This Row],[Produto]],Tabela2[Mercadoria],0),1),"")</f>
        <v>42188</v>
      </c>
      <c r="D8">
        <v>0</v>
      </c>
      <c r="E8">
        <f>SUMIF(Tabela2[Mercadoria],Tabela4[[#This Row],[Produto]],Tabela2[Quantidade])</f>
        <v>100</v>
      </c>
      <c r="F8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4</v>
      </c>
      <c r="G8">
        <f>Tabela4[[#This Row],[Quantidade Inicial]]+Tabela4[[#This Row],[Quantidade Comprada]]-Tabela4[[#This Row],[Quantidade Vendida]]</f>
        <v>96</v>
      </c>
      <c r="H8" t="str">
        <f>IF(Tabela4[[#This Row],[Quantidade Atual]]&lt;50,IF(Tabela4[[#This Row],[Quantidade Atual]]&lt;21,"Comprar","Atenção"),"OK")</f>
        <v>OK</v>
      </c>
    </row>
    <row r="9" spans="2:8" x14ac:dyDescent="0.3">
      <c r="B9" t="s">
        <v>38</v>
      </c>
      <c r="C9" s="7" t="str">
        <f>IFERROR(INDEX(Tabela2[],MATCH(Tabela4[[#This Row],[Produto]],Tabela2[Mercadoria],0),1),"")</f>
        <v/>
      </c>
      <c r="D9">
        <v>150</v>
      </c>
      <c r="E9">
        <f>SUMIF(Tabela2[Mercadoria],Tabela4[[#This Row],[Produto]],Tabela2[Quantidade])</f>
        <v>0</v>
      </c>
      <c r="F9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0</v>
      </c>
      <c r="G9">
        <f>Tabela4[[#This Row],[Quantidade Inicial]]+Tabela4[[#This Row],[Quantidade Comprada]]-Tabela4[[#This Row],[Quantidade Vendida]]</f>
        <v>150</v>
      </c>
      <c r="H9" t="str">
        <f>IF(Tabela4[[#This Row],[Quantidade Atual]]&lt;50,IF(Tabela4[[#This Row],[Quantidade Atual]]&lt;21,"Comprar","Atenção"),"OK")</f>
        <v>OK</v>
      </c>
    </row>
    <row r="10" spans="2:8" x14ac:dyDescent="0.3">
      <c r="B10" t="s">
        <v>67</v>
      </c>
      <c r="C10" s="7" t="str">
        <f>IFERROR(INDEX(Tabela2[],MATCH(Tabela4[[#This Row],[Produto]],Tabela2[Mercadoria],0),1),"")</f>
        <v/>
      </c>
      <c r="D10">
        <v>15</v>
      </c>
      <c r="E10">
        <f>SUMIF(Tabela2[Mercadoria],Tabela4[[#This Row],[Produto]],Tabela2[Quantidade])</f>
        <v>0</v>
      </c>
      <c r="F10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6</v>
      </c>
      <c r="G10">
        <f>Tabela4[[#This Row],[Quantidade Inicial]]+Tabela4[[#This Row],[Quantidade Comprada]]-Tabela4[[#This Row],[Quantidade Vendida]]</f>
        <v>9</v>
      </c>
      <c r="H10" t="str">
        <f>IF(Tabela4[[#This Row],[Quantidade Atual]]&lt;50,IF(Tabela4[[#This Row],[Quantidade Atual]]&lt;21,"Comprar","Atenção"),"OK")</f>
        <v>Comprar</v>
      </c>
    </row>
    <row r="11" spans="2:8" x14ac:dyDescent="0.3">
      <c r="B11" t="s">
        <v>34</v>
      </c>
      <c r="C11" s="7" t="str">
        <f>IFERROR(INDEX(Tabela2[],MATCH(Tabela4[[#This Row],[Produto]],Tabela2[Mercadoria],0),1),"")</f>
        <v/>
      </c>
      <c r="D11">
        <v>25</v>
      </c>
      <c r="E11">
        <f>SUMIF(Tabela2[Mercadoria],Tabela4[[#This Row],[Produto]],Tabela2[Quantidade])</f>
        <v>0</v>
      </c>
      <c r="F11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3</v>
      </c>
      <c r="G11">
        <f>Tabela4[[#This Row],[Quantidade Inicial]]+Tabela4[[#This Row],[Quantidade Comprada]]-Tabela4[[#This Row],[Quantidade Vendida]]</f>
        <v>22</v>
      </c>
      <c r="H11" t="str">
        <f>IF(Tabela4[[#This Row],[Quantidade Atual]]&lt;50,IF(Tabela4[[#This Row],[Quantidade Atual]]&lt;21,"Comprar","Atenção"),"OK")</f>
        <v>Atenção</v>
      </c>
    </row>
    <row r="12" spans="2:8" x14ac:dyDescent="0.3">
      <c r="B12" t="s">
        <v>22</v>
      </c>
      <c r="C12" s="7">
        <f>IFERROR(INDEX(Tabela2[],MATCH(Tabela4[[#This Row],[Produto]],Tabela2[Mercadoria],0),1),"")</f>
        <v>42187</v>
      </c>
      <c r="D12">
        <v>0</v>
      </c>
      <c r="E12">
        <f>SUMIF(Tabela2[Mercadoria],Tabela4[[#This Row],[Produto]],Tabela2[Quantidade])</f>
        <v>150</v>
      </c>
      <c r="F12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16</v>
      </c>
      <c r="G12">
        <f>Tabela4[[#This Row],[Quantidade Inicial]]+Tabela4[[#This Row],[Quantidade Comprada]]-Tabela4[[#This Row],[Quantidade Vendida]]</f>
        <v>134</v>
      </c>
      <c r="H12" t="str">
        <f>IF(Tabela4[[#This Row],[Quantidade Atual]]&lt;50,IF(Tabela4[[#This Row],[Quantidade Atual]]&lt;21,"Comprar","Atenção"),"OK")</f>
        <v>OK</v>
      </c>
    </row>
    <row r="13" spans="2:8" x14ac:dyDescent="0.3">
      <c r="B13" t="s">
        <v>28</v>
      </c>
      <c r="C13" s="7">
        <f>IFERROR(INDEX(Tabela2[],MATCH(Tabela4[[#This Row],[Produto]],Tabela2[Mercadoria],0),1),"")</f>
        <v>42187</v>
      </c>
      <c r="D13">
        <v>0</v>
      </c>
      <c r="E13">
        <f>SUMIF(Tabela2[Mercadoria],Tabela4[[#This Row],[Produto]],Tabela2[Quantidade])</f>
        <v>150</v>
      </c>
      <c r="F13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0</v>
      </c>
      <c r="G13">
        <f>Tabela4[[#This Row],[Quantidade Inicial]]+Tabela4[[#This Row],[Quantidade Comprada]]-Tabela4[[#This Row],[Quantidade Vendida]]</f>
        <v>150</v>
      </c>
      <c r="H13" t="str">
        <f>IF(Tabela4[[#This Row],[Quantidade Atual]]&lt;50,IF(Tabela4[[#This Row],[Quantidade Atual]]&lt;21,"Comprar","Atenção"),"OK")</f>
        <v>OK</v>
      </c>
    </row>
    <row r="14" spans="2:8" x14ac:dyDescent="0.3">
      <c r="B14" t="s">
        <v>31</v>
      </c>
      <c r="C14" s="7">
        <f>IFERROR(INDEX(Tabela2[],MATCH(Tabela4[[#This Row],[Produto]],Tabela2[Mercadoria],0),1),"")</f>
        <v>42189</v>
      </c>
      <c r="D14">
        <v>30</v>
      </c>
      <c r="E14">
        <f>SUMIF(Tabela2[Mercadoria],Tabela4[[#This Row],[Produto]],Tabela2[Quantidade])</f>
        <v>300</v>
      </c>
      <c r="F14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87</v>
      </c>
      <c r="G14">
        <f>Tabela4[[#This Row],[Quantidade Inicial]]+Tabela4[[#This Row],[Quantidade Comprada]]-Tabela4[[#This Row],[Quantidade Vendida]]</f>
        <v>243</v>
      </c>
      <c r="H14" t="str">
        <f>IF(Tabela4[[#This Row],[Quantidade Atual]]&lt;50,IF(Tabela4[[#This Row],[Quantidade Atual]]&lt;21,"Comprar","Atenção"),"OK")</f>
        <v>OK</v>
      </c>
    </row>
    <row r="15" spans="2:8" x14ac:dyDescent="0.3">
      <c r="B15" t="s">
        <v>36</v>
      </c>
      <c r="C15" s="7">
        <f>IFERROR(INDEX(Tabela2[],MATCH(Tabela4[[#This Row],[Produto]],Tabela2[Mercadoria],0),1),"")</f>
        <v>42188</v>
      </c>
      <c r="D15">
        <v>0</v>
      </c>
      <c r="E15">
        <f>SUMIF(Tabela2[Mercadoria],Tabela4[[#This Row],[Produto]],Tabela2[Quantidade])</f>
        <v>100</v>
      </c>
      <c r="F15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0</v>
      </c>
      <c r="G15">
        <f>Tabela4[[#This Row],[Quantidade Inicial]]+Tabela4[[#This Row],[Quantidade Comprada]]-Tabela4[[#This Row],[Quantidade Vendida]]</f>
        <v>100</v>
      </c>
      <c r="H15" t="str">
        <f>IF(Tabela4[[#This Row],[Quantidade Atual]]&lt;50,IF(Tabela4[[#This Row],[Quantidade Atual]]&lt;21,"Comprar","Atenção"),"OK")</f>
        <v>OK</v>
      </c>
    </row>
    <row r="16" spans="2:8" x14ac:dyDescent="0.3">
      <c r="B16" t="s">
        <v>37</v>
      </c>
      <c r="C16" s="7">
        <f>IFERROR(INDEX(Tabela2[],MATCH(Tabela4[[#This Row],[Produto]],Tabela2[Mercadoria],0),1),"")</f>
        <v>42188</v>
      </c>
      <c r="D16">
        <v>0</v>
      </c>
      <c r="E16">
        <f>SUMIF(Tabela2[Mercadoria],Tabela4[[#This Row],[Produto]],Tabela2[Quantidade])</f>
        <v>100</v>
      </c>
      <c r="F16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0</v>
      </c>
      <c r="G16">
        <f>Tabela4[[#This Row],[Quantidade Inicial]]+Tabela4[[#This Row],[Quantidade Comprada]]-Tabela4[[#This Row],[Quantidade Vendida]]</f>
        <v>100</v>
      </c>
      <c r="H16" t="str">
        <f>IF(Tabela4[[#This Row],[Quantidade Atual]]&lt;50,IF(Tabela4[[#This Row],[Quantidade Atual]]&lt;21,"Comprar","Atenção"),"OK")</f>
        <v>OK</v>
      </c>
    </row>
    <row r="17" spans="2:8" x14ac:dyDescent="0.3">
      <c r="B17" t="s">
        <v>33</v>
      </c>
      <c r="C17" s="7">
        <f>IFERROR(INDEX(Tabela2[],MATCH(Tabela4[[#This Row],[Produto]],Tabela2[Mercadoria],0),1),"")</f>
        <v>42190</v>
      </c>
      <c r="D17">
        <v>0</v>
      </c>
      <c r="E17">
        <f>SUMIF(Tabela2[Mercadoria],Tabela4[[#This Row],[Produto]],Tabela2[Quantidade])</f>
        <v>150</v>
      </c>
      <c r="F17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0</v>
      </c>
      <c r="G17">
        <f>Tabela4[[#This Row],[Quantidade Inicial]]+Tabela4[[#This Row],[Quantidade Comprada]]-Tabela4[[#This Row],[Quantidade Vendida]]</f>
        <v>150</v>
      </c>
      <c r="H17" t="str">
        <f>IF(Tabela4[[#This Row],[Quantidade Atual]]&lt;50,IF(Tabela4[[#This Row],[Quantidade Atual]]&lt;21,"Comprar","Atenção"),"OK")</f>
        <v>OK</v>
      </c>
    </row>
    <row r="18" spans="2:8" x14ac:dyDescent="0.3">
      <c r="B18" t="s">
        <v>19</v>
      </c>
      <c r="C18" s="7">
        <f>IFERROR(INDEX(Tabela2[],MATCH(Tabela4[[#This Row],[Produto]],Tabela2[Mercadoria],0),1),"")</f>
        <v>42190</v>
      </c>
      <c r="D18">
        <v>0</v>
      </c>
      <c r="E18">
        <f>SUMIF(Tabela2[Mercadoria],Tabela4[[#This Row],[Produto]],Tabela2[Quantidade])</f>
        <v>570</v>
      </c>
      <c r="F18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10</v>
      </c>
      <c r="G18">
        <f>Tabela4[[#This Row],[Quantidade Inicial]]+Tabela4[[#This Row],[Quantidade Comprada]]-Tabela4[[#This Row],[Quantidade Vendida]]</f>
        <v>560</v>
      </c>
      <c r="H18" t="str">
        <f>IF(Tabela4[[#This Row],[Quantidade Atual]]&lt;50,IF(Tabela4[[#This Row],[Quantidade Atual]]&lt;21,"Comprar","Atenção"),"OK")</f>
        <v>OK</v>
      </c>
    </row>
    <row r="19" spans="2:8" x14ac:dyDescent="0.3">
      <c r="B19" t="s">
        <v>23</v>
      </c>
      <c r="C19" s="7">
        <f>IFERROR(INDEX(Tabela2[],MATCH(Tabela4[[#This Row],[Produto]],Tabela2[Mercadoria],0),1),"")</f>
        <v>42188</v>
      </c>
      <c r="D19">
        <v>39</v>
      </c>
      <c r="E19">
        <f>SUMIF(Tabela2[Mercadoria],Tabela4[[#This Row],[Produto]],Tabela2[Quantidade])</f>
        <v>110</v>
      </c>
      <c r="F19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0</v>
      </c>
      <c r="G19">
        <f>Tabela4[[#This Row],[Quantidade Inicial]]+Tabela4[[#This Row],[Quantidade Comprada]]-Tabela4[[#This Row],[Quantidade Vendida]]</f>
        <v>149</v>
      </c>
      <c r="H19" t="str">
        <f>IF(Tabela4[[#This Row],[Quantidade Atual]]&lt;50,IF(Tabela4[[#This Row],[Quantidade Atual]]&lt;21,"Comprar","Atenção"),"OK")</f>
        <v>OK</v>
      </c>
    </row>
    <row r="20" spans="2:8" x14ac:dyDescent="0.3">
      <c r="B20" t="s">
        <v>72</v>
      </c>
      <c r="C20" s="7">
        <f>IFERROR(INDEX(Tabela2[],MATCH(Tabela4[[#This Row],[Produto]],Tabela2[Mercadoria],0),1),"")</f>
        <v>42188</v>
      </c>
      <c r="D20">
        <v>0</v>
      </c>
      <c r="E20">
        <f>SUMIF(Tabela2[Mercadoria],Tabela4[[#This Row],[Produto]],Tabela2[Quantidade])</f>
        <v>300</v>
      </c>
      <c r="F20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5</v>
      </c>
      <c r="G20">
        <f>Tabela4[[#This Row],[Quantidade Inicial]]+Tabela4[[#This Row],[Quantidade Comprada]]-Tabela4[[#This Row],[Quantidade Vendida]]</f>
        <v>295</v>
      </c>
      <c r="H20" t="str">
        <f>IF(Tabela4[[#This Row],[Quantidade Atual]]&lt;50,IF(Tabela4[[#This Row],[Quantidade Atual]]&lt;21,"Comprar","Atenção"),"OK")</f>
        <v>OK</v>
      </c>
    </row>
    <row r="21" spans="2:8" x14ac:dyDescent="0.3">
      <c r="B21" t="s">
        <v>24</v>
      </c>
      <c r="C21" s="7">
        <f>IFERROR(INDEX(Tabela2[],MATCH(Tabela4[[#This Row],[Produto]],Tabela2[Mercadoria],0),1),"")</f>
        <v>42188</v>
      </c>
      <c r="D21">
        <v>0</v>
      </c>
      <c r="E21">
        <f>SUMIF(Tabela2[Mercadoria],Tabela4[[#This Row],[Produto]],Tabela2[Quantidade])</f>
        <v>50</v>
      </c>
      <c r="F21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0</v>
      </c>
      <c r="G21">
        <f>Tabela4[[#This Row],[Quantidade Inicial]]+Tabela4[[#This Row],[Quantidade Comprada]]-Tabela4[[#This Row],[Quantidade Vendida]]</f>
        <v>50</v>
      </c>
      <c r="H21" t="str">
        <f>IF(Tabela4[[#This Row],[Quantidade Atual]]&lt;50,IF(Tabela4[[#This Row],[Quantidade Atual]]&lt;21,"Comprar","Atenção"),"OK")</f>
        <v>OK</v>
      </c>
    </row>
    <row r="22" spans="2:8" x14ac:dyDescent="0.3">
      <c r="B22" t="s">
        <v>25</v>
      </c>
      <c r="C22" s="7" t="str">
        <f>IFERROR(INDEX(Tabela2[],MATCH(Tabela4[[#This Row],[Produto]],Tabela2[Mercadoria],0),1),"")</f>
        <v/>
      </c>
      <c r="D22">
        <v>10</v>
      </c>
      <c r="E22">
        <f>SUMIF(Tabela2[Mercadoria],Tabela4[[#This Row],[Produto]],Tabela2[Quantidade])</f>
        <v>0</v>
      </c>
      <c r="F22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1.5</v>
      </c>
      <c r="G22">
        <f>Tabela4[[#This Row],[Quantidade Inicial]]+Tabela4[[#This Row],[Quantidade Comprada]]-Tabela4[[#This Row],[Quantidade Vendida]]</f>
        <v>8.5</v>
      </c>
      <c r="H22" t="str">
        <f>IF(Tabela4[[#This Row],[Quantidade Atual]]&lt;50,IF(Tabela4[[#This Row],[Quantidade Atual]]&lt;21,"Comprar","Atenção"),"OK")</f>
        <v>Comprar</v>
      </c>
    </row>
    <row r="23" spans="2:8" x14ac:dyDescent="0.3">
      <c r="B23" t="s">
        <v>73</v>
      </c>
      <c r="C23" s="7" t="str">
        <f>IFERROR(INDEX(Tabela2[],MATCH(Tabela4[[#This Row],[Produto]],Tabela2[Mercadoria],0),1),"")</f>
        <v/>
      </c>
      <c r="D23">
        <v>100</v>
      </c>
      <c r="E23">
        <f>SUMIF(Tabela2[Mercadoria],Tabela4[[#This Row],[Produto]],Tabela2[Quantidade])</f>
        <v>0</v>
      </c>
      <c r="F23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4</v>
      </c>
      <c r="G23">
        <f>Tabela4[[#This Row],[Quantidade Inicial]]+Tabela4[[#This Row],[Quantidade Comprada]]-Tabela4[[#This Row],[Quantidade Vendida]]</f>
        <v>96</v>
      </c>
      <c r="H23" t="str">
        <f>IF(Tabela4[[#This Row],[Quantidade Atual]]&lt;50,IF(Tabela4[[#This Row],[Quantidade Atual]]&lt;21,"Comprar","Atenção"),"OK")</f>
        <v>OK</v>
      </c>
    </row>
    <row r="24" spans="2:8" x14ac:dyDescent="0.3">
      <c r="B24" t="s">
        <v>27</v>
      </c>
      <c r="C24" s="7">
        <f>IFERROR(INDEX(Tabela2[],MATCH(Tabela4[[#This Row],[Produto]],Tabela2[Mercadoria],0),1),"")</f>
        <v>42189</v>
      </c>
      <c r="D24">
        <v>0</v>
      </c>
      <c r="E24">
        <f>SUMIF(Tabela2[Mercadoria],Tabela4[[#This Row],[Produto]],Tabela2[Quantidade])</f>
        <v>200</v>
      </c>
      <c r="F24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0</v>
      </c>
      <c r="G24">
        <f>Tabela4[[#This Row],[Quantidade Inicial]]+Tabela4[[#This Row],[Quantidade Comprada]]-Tabela4[[#This Row],[Quantidade Vendida]]</f>
        <v>200</v>
      </c>
      <c r="H24" t="str">
        <f>IF(Tabela4[[#This Row],[Quantidade Atual]]&lt;50,IF(Tabela4[[#This Row],[Quantidade Atual]]&lt;21,"Comprar","Atenção"),"OK")</f>
        <v>OK</v>
      </c>
    </row>
    <row r="25" spans="2:8" x14ac:dyDescent="0.3">
      <c r="B25" t="s">
        <v>20</v>
      </c>
      <c r="C25" s="7" t="str">
        <f>IFERROR(INDEX(Tabela2[],MATCH(Tabela4[[#This Row],[Produto]],Tabela2[Mercadoria],0),1),"")</f>
        <v/>
      </c>
      <c r="D25">
        <v>30</v>
      </c>
      <c r="E25">
        <f>SUMIF(Tabela2[Mercadoria],Tabela4[[#This Row],[Produto]],Tabela2[Quantidade])</f>
        <v>0</v>
      </c>
      <c r="F25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0</v>
      </c>
      <c r="G25">
        <f>Tabela4[[#This Row],[Quantidade Inicial]]+Tabela4[[#This Row],[Quantidade Comprada]]-Tabela4[[#This Row],[Quantidade Vendida]]</f>
        <v>30</v>
      </c>
      <c r="H25" t="str">
        <f>IF(Tabela4[[#This Row],[Quantidade Atual]]&lt;50,IF(Tabela4[[#This Row],[Quantidade Atual]]&lt;21,"Comprar","Atenção"),"OK")</f>
        <v>Atenção</v>
      </c>
    </row>
    <row r="26" spans="2:8" x14ac:dyDescent="0.3">
      <c r="B26" t="s">
        <v>29</v>
      </c>
      <c r="C26" s="7" t="str">
        <f>IFERROR(INDEX(Tabela2[],MATCH(Tabela4[[#This Row],[Produto]],Tabela2[Mercadoria],0),1),"")</f>
        <v/>
      </c>
      <c r="D26">
        <v>50</v>
      </c>
      <c r="E26">
        <f>SUMIF(Tabela2[Mercadoria],Tabela4[[#This Row],[Produto]],Tabela2[Quantidade])</f>
        <v>0</v>
      </c>
      <c r="F26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2</v>
      </c>
      <c r="G26">
        <f>Tabela4[[#This Row],[Quantidade Inicial]]+Tabela4[[#This Row],[Quantidade Comprada]]-Tabela4[[#This Row],[Quantidade Vendida]]</f>
        <v>48</v>
      </c>
      <c r="H26" t="str">
        <f>IF(Tabela4[[#This Row],[Quantidade Atual]]&lt;50,IF(Tabela4[[#This Row],[Quantidade Atual]]&lt;21,"Comprar","Atenção"),"OK")</f>
        <v>Atenção</v>
      </c>
    </row>
    <row r="27" spans="2:8" x14ac:dyDescent="0.3">
      <c r="B27" t="s">
        <v>26</v>
      </c>
      <c r="C27" s="7">
        <f>IFERROR(INDEX(Tabela2[],MATCH(Tabela4[[#This Row],[Produto]],Tabela2[Mercadoria],0),1),"")</f>
        <v>42187</v>
      </c>
      <c r="D27">
        <v>0</v>
      </c>
      <c r="E27">
        <f>SUMIF(Tabela2[Mercadoria],Tabela4[[#This Row],[Produto]],Tabela2[Quantidade])</f>
        <v>80</v>
      </c>
      <c r="F27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0</v>
      </c>
      <c r="G27">
        <f>Tabela4[[#This Row],[Quantidade Inicial]]+Tabela4[[#This Row],[Quantidade Comprada]]-Tabela4[[#This Row],[Quantidade Vendida]]</f>
        <v>80</v>
      </c>
      <c r="H27" t="str">
        <f>IF(Tabela4[[#This Row],[Quantidade Atual]]&lt;50,IF(Tabela4[[#This Row],[Quantidade Atual]]&lt;21,"Comprar","Atenção"),"OK")</f>
        <v>OK</v>
      </c>
    </row>
    <row r="28" spans="2:8" x14ac:dyDescent="0.3">
      <c r="B28" t="s">
        <v>32</v>
      </c>
      <c r="C28" s="7" t="str">
        <f>IFERROR(INDEX(Tabela2[],MATCH(Tabela4[[#This Row],[Produto]],Tabela2[Mercadoria],0),1),"")</f>
        <v/>
      </c>
      <c r="D28">
        <v>20</v>
      </c>
      <c r="E28">
        <f>SUMIF(Tabela2[Mercadoria],Tabela4[[#This Row],[Produto]],Tabela2[Quantidade])</f>
        <v>0</v>
      </c>
      <c r="F28">
        <f>SUMIF(Tabela5[Produto],Tabela4[[#This Row],[Produto]],Tabela5[Quantidade])+SUMIF(Tabela57[Produto],Tabela4[[#This Row],[Produto]],Tabela57[Quantidade])+SUMIF(Tabela58[Produto],Tabela4[[#This Row],[Produto]],Tabela58[Quantidade])+SUMIF(Tabela59[Produto],Tabela4[[#This Row],[Produto]],Tabela59[Quantidade])+SUMIF(Tabela510[Produto],Tabela4[[#This Row],[Produto]],Tabela510[Quantidade])</f>
        <v>1</v>
      </c>
      <c r="G28">
        <f>Tabela4[[#This Row],[Quantidade Inicial]]+Tabela4[[#This Row],[Quantidade Comprada]]-Tabela4[[#This Row],[Quantidade Vendida]]</f>
        <v>19</v>
      </c>
      <c r="H28" t="str">
        <f>IF(Tabela4[[#This Row],[Quantidade Atual]]&lt;50,IF(Tabela4[[#This Row],[Quantidade Atual]]&lt;21,"Comprar","Atenção"),"OK")</f>
        <v>Comprar</v>
      </c>
    </row>
  </sheetData>
  <conditionalFormatting sqref="H4:H28">
    <cfRule type="containsText" dxfId="45" priority="2" operator="containsText" text="Atenção">
      <formula>NOT(ISERROR(SEARCH("Atenção",H4)))</formula>
    </cfRule>
    <cfRule type="containsText" dxfId="44" priority="3" operator="containsText" text="Comprar">
      <formula>NOT(ISERROR(SEARCH("Comprar",H4)))</formula>
    </cfRule>
  </conditionalFormatting>
  <conditionalFormatting sqref="H5:H28">
    <cfRule type="containsText" dxfId="43" priority="1" operator="containsText" text="OK">
      <formula>NOT(ISERROR(SEARCH("OK",H5)))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2:E27"/>
  <sheetViews>
    <sheetView showGridLines="0" workbookViewId="0">
      <selection activeCell="C3" sqref="C3:E3"/>
    </sheetView>
  </sheetViews>
  <sheetFormatPr defaultRowHeight="14.4" x14ac:dyDescent="0.3"/>
  <cols>
    <col min="2" max="2" width="26.109375" bestFit="1" customWidth="1"/>
    <col min="3" max="3" width="32.21875" customWidth="1"/>
    <col min="4" max="4" width="37.44140625" customWidth="1"/>
    <col min="5" max="5" width="41.33203125" customWidth="1"/>
  </cols>
  <sheetData>
    <row r="2" spans="2:5" s="18" customFormat="1" ht="28.05" customHeight="1" x14ac:dyDescent="0.3">
      <c r="B2" s="17" t="s">
        <v>144</v>
      </c>
    </row>
    <row r="3" spans="2:5" ht="34.200000000000003" customHeight="1" x14ac:dyDescent="0.3"/>
    <row r="4" spans="2:5" ht="15.6" x14ac:dyDescent="0.3">
      <c r="C4" s="45" t="s">
        <v>132</v>
      </c>
      <c r="D4" s="45"/>
      <c r="E4" s="46">
        <f>SUM(E5:E6)</f>
        <v>722.2700000000001</v>
      </c>
    </row>
    <row r="5" spans="2:5" ht="15.6" x14ac:dyDescent="0.3">
      <c r="C5" s="47"/>
      <c r="D5" s="48" t="s">
        <v>139</v>
      </c>
      <c r="E5" s="49">
        <f>Vendas!D17-Resultados!E6</f>
        <v>673.7700000000001</v>
      </c>
    </row>
    <row r="6" spans="2:5" ht="15.6" x14ac:dyDescent="0.3">
      <c r="C6" s="47"/>
      <c r="D6" s="47" t="s">
        <v>140</v>
      </c>
      <c r="E6" s="50">
        <f>Vendas!D31</f>
        <v>48.5</v>
      </c>
    </row>
    <row r="7" spans="2:5" ht="15.6" x14ac:dyDescent="0.3">
      <c r="C7" s="47"/>
      <c r="D7" s="47"/>
      <c r="E7" s="50"/>
    </row>
    <row r="8" spans="2:5" ht="15.6" x14ac:dyDescent="0.3">
      <c r="C8" s="47" t="s">
        <v>133</v>
      </c>
      <c r="D8" s="47"/>
      <c r="E8" s="50">
        <f>0.15*E4</f>
        <v>108.34050000000001</v>
      </c>
    </row>
    <row r="9" spans="2:5" ht="15.6" x14ac:dyDescent="0.3">
      <c r="C9" s="47"/>
      <c r="D9" s="47"/>
      <c r="E9" s="50"/>
    </row>
    <row r="10" spans="2:5" ht="16.2" thickBot="1" x14ac:dyDescent="0.35">
      <c r="C10" s="51" t="s">
        <v>6</v>
      </c>
      <c r="D10" s="51"/>
      <c r="E10" s="52">
        <f>E4-E8</f>
        <v>613.92950000000008</v>
      </c>
    </row>
    <row r="11" spans="2:5" ht="15.6" x14ac:dyDescent="0.3">
      <c r="C11" s="47"/>
      <c r="D11" s="47"/>
      <c r="E11" s="50"/>
    </row>
    <row r="12" spans="2:5" ht="15.6" x14ac:dyDescent="0.3">
      <c r="C12" s="45" t="s">
        <v>86</v>
      </c>
      <c r="D12" s="45"/>
      <c r="E12" s="46">
        <f>SUM(E13:E14)</f>
        <v>59406.921999999999</v>
      </c>
    </row>
    <row r="13" spans="2:5" ht="15.6" x14ac:dyDescent="0.3">
      <c r="C13" s="47"/>
      <c r="D13" s="48" t="s">
        <v>141</v>
      </c>
      <c r="E13" s="49">
        <f>'Controle Mercadorias'!I29</f>
        <v>13999.922</v>
      </c>
    </row>
    <row r="14" spans="2:5" ht="15.6" x14ac:dyDescent="0.3">
      <c r="C14" s="47"/>
      <c r="D14" s="47" t="s">
        <v>142</v>
      </c>
      <c r="E14" s="50">
        <f>Despesas!G31</f>
        <v>45407</v>
      </c>
    </row>
    <row r="15" spans="2:5" ht="16.2" thickBot="1" x14ac:dyDescent="0.35">
      <c r="C15" s="51"/>
      <c r="D15" s="51"/>
      <c r="E15" s="52"/>
    </row>
    <row r="16" spans="2:5" ht="16.2" thickBot="1" x14ac:dyDescent="0.35">
      <c r="C16" s="53" t="s">
        <v>134</v>
      </c>
      <c r="D16" s="53"/>
      <c r="E16" s="54">
        <f>E4-E12</f>
        <v>-58684.652000000002</v>
      </c>
    </row>
    <row r="17" spans="3:5" ht="16.2" thickTop="1" x14ac:dyDescent="0.3">
      <c r="C17" s="47"/>
      <c r="D17" s="47"/>
      <c r="E17" s="50"/>
    </row>
    <row r="18" spans="3:5" ht="15.6" x14ac:dyDescent="0.3">
      <c r="C18" s="47" t="s">
        <v>7</v>
      </c>
      <c r="D18" s="47"/>
      <c r="E18" s="55">
        <f>Investimentos!E11</f>
        <v>400000</v>
      </c>
    </row>
    <row r="19" spans="3:5" ht="15.6" x14ac:dyDescent="0.3">
      <c r="C19" s="47"/>
      <c r="D19" s="47"/>
      <c r="E19" s="50"/>
    </row>
    <row r="20" spans="3:5" ht="15.6" x14ac:dyDescent="0.3">
      <c r="C20" s="47" t="s">
        <v>135</v>
      </c>
      <c r="D20" s="47"/>
      <c r="E20" s="50">
        <v>300</v>
      </c>
    </row>
    <row r="21" spans="3:5" ht="15.6" x14ac:dyDescent="0.3">
      <c r="C21" s="47"/>
      <c r="D21" s="47"/>
      <c r="E21" s="50"/>
    </row>
    <row r="22" spans="3:5" ht="16.2" thickBot="1" x14ac:dyDescent="0.35">
      <c r="C22" s="56" t="s">
        <v>136</v>
      </c>
      <c r="D22" s="56"/>
      <c r="E22" s="57">
        <f>E16-E18-E20</f>
        <v>-458984.652</v>
      </c>
    </row>
    <row r="23" spans="3:5" ht="16.2" thickTop="1" x14ac:dyDescent="0.3">
      <c r="C23" s="47"/>
      <c r="D23" s="47"/>
      <c r="E23" s="50"/>
    </row>
    <row r="24" spans="3:5" ht="15.6" x14ac:dyDescent="0.3">
      <c r="C24" s="47" t="s">
        <v>137</v>
      </c>
      <c r="D24" s="47"/>
      <c r="E24" s="50">
        <f>IF(E20&gt;1000,3*E22,0)</f>
        <v>0</v>
      </c>
    </row>
    <row r="25" spans="3:5" ht="15.6" x14ac:dyDescent="0.3">
      <c r="C25" s="47"/>
      <c r="D25" s="47"/>
      <c r="E25" s="47"/>
    </row>
    <row r="26" spans="3:5" ht="16.2" thickBot="1" x14ac:dyDescent="0.35">
      <c r="C26" s="56" t="s">
        <v>138</v>
      </c>
      <c r="D26" s="56"/>
      <c r="E26" s="57">
        <f>E22-E24</f>
        <v>-458984.652</v>
      </c>
    </row>
    <row r="27" spans="3:5" ht="16.2" thickTop="1" x14ac:dyDescent="0.3">
      <c r="C27" s="58"/>
      <c r="D27" s="58"/>
      <c r="E27" s="58"/>
    </row>
  </sheetData>
  <conditionalFormatting sqref="E16 E22 E26">
    <cfRule type="cellIs" dxfId="37" priority="2" operator="lessThan">
      <formula>0</formula>
    </cfRule>
    <cfRule type="cellIs" dxfId="36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landscape" horizontalDpi="0" verticalDpi="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:K60"/>
  <sheetViews>
    <sheetView showGridLines="0" zoomScale="60" zoomScaleNormal="60" workbookViewId="0">
      <selection activeCell="C67" sqref="C67"/>
    </sheetView>
  </sheetViews>
  <sheetFormatPr defaultRowHeight="14.4" x14ac:dyDescent="0.3"/>
  <cols>
    <col min="2" max="2" width="16.44140625" customWidth="1"/>
    <col min="3" max="3" width="28.109375" bestFit="1" customWidth="1"/>
    <col min="4" max="4" width="21.5546875" bestFit="1" customWidth="1"/>
    <col min="5" max="9" width="15.88671875" customWidth="1"/>
    <col min="10" max="10" width="18.21875" customWidth="1"/>
    <col min="11" max="11" width="23.21875" customWidth="1"/>
  </cols>
  <sheetData>
    <row r="2" spans="2:11" s="18" customFormat="1" ht="28.05" customHeight="1" x14ac:dyDescent="0.3">
      <c r="B2" s="17" t="s">
        <v>145</v>
      </c>
    </row>
    <row r="3" spans="2:11" ht="34.200000000000003" customHeight="1" x14ac:dyDescent="0.3"/>
    <row r="4" spans="2:11" ht="21.6" thickBot="1" x14ac:dyDescent="0.45">
      <c r="K4" s="43" t="s">
        <v>127</v>
      </c>
    </row>
    <row r="5" spans="2:11" ht="21.6" thickTop="1" x14ac:dyDescent="0.4">
      <c r="K5" s="25"/>
    </row>
    <row r="6" spans="2:11" x14ac:dyDescent="0.3">
      <c r="B6" s="26"/>
      <c r="C6" s="27"/>
      <c r="D6" s="27"/>
      <c r="E6" s="27"/>
      <c r="F6" s="27"/>
      <c r="G6" s="27"/>
      <c r="H6" s="27"/>
      <c r="I6" s="27"/>
      <c r="J6" s="27"/>
      <c r="K6" s="28"/>
    </row>
    <row r="7" spans="2:11" x14ac:dyDescent="0.3">
      <c r="B7" s="29"/>
      <c r="K7" s="30"/>
    </row>
    <row r="8" spans="2:11" x14ac:dyDescent="0.3">
      <c r="B8" s="29"/>
      <c r="K8" s="30"/>
    </row>
    <row r="9" spans="2:11" ht="18" x14ac:dyDescent="0.35">
      <c r="B9" s="29"/>
      <c r="C9" s="35" t="s">
        <v>122</v>
      </c>
      <c r="D9" s="36">
        <f>'Semana 1'!M31</f>
        <v>659.37000000000012</v>
      </c>
      <c r="K9" s="30"/>
    </row>
    <row r="10" spans="2:11" ht="18" x14ac:dyDescent="0.35">
      <c r="B10" s="29"/>
      <c r="C10" s="37" t="s">
        <v>123</v>
      </c>
      <c r="D10" s="38">
        <f>'Semana 2'!M17</f>
        <v>62.9</v>
      </c>
      <c r="K10" s="30"/>
    </row>
    <row r="11" spans="2:11" ht="18" x14ac:dyDescent="0.35">
      <c r="B11" s="29"/>
      <c r="C11" s="37" t="s">
        <v>124</v>
      </c>
      <c r="D11" s="38">
        <f>'Semana 3'!M17</f>
        <v>0</v>
      </c>
      <c r="K11" s="30"/>
    </row>
    <row r="12" spans="2:11" ht="18" x14ac:dyDescent="0.35">
      <c r="B12" s="29"/>
      <c r="C12" s="37" t="s">
        <v>125</v>
      </c>
      <c r="D12" s="38">
        <f>'Semana 4'!M17</f>
        <v>0</v>
      </c>
      <c r="K12" s="30"/>
    </row>
    <row r="13" spans="2:11" ht="18" x14ac:dyDescent="0.35">
      <c r="B13" s="29"/>
      <c r="C13" s="39" t="s">
        <v>126</v>
      </c>
      <c r="D13" s="40">
        <f>'Semana 5'!M16</f>
        <v>0</v>
      </c>
      <c r="K13" s="30"/>
    </row>
    <row r="14" spans="2:11" x14ac:dyDescent="0.3">
      <c r="B14" s="29"/>
      <c r="C14" s="34"/>
      <c r="D14" s="34"/>
      <c r="K14" s="30"/>
    </row>
    <row r="15" spans="2:11" x14ac:dyDescent="0.3">
      <c r="B15" s="29"/>
      <c r="C15" s="34"/>
      <c r="D15" s="34"/>
      <c r="K15" s="30"/>
    </row>
    <row r="16" spans="2:11" x14ac:dyDescent="0.3">
      <c r="B16" s="29"/>
      <c r="C16" s="34"/>
      <c r="D16" s="34"/>
      <c r="K16" s="30"/>
    </row>
    <row r="17" spans="2:11" ht="18" x14ac:dyDescent="0.35">
      <c r="B17" s="29"/>
      <c r="C17" s="41" t="str">
        <f>"Total de Vendas de "&amp;K4</f>
        <v>Total de Vendas de Julho</v>
      </c>
      <c r="D17" s="42">
        <f>SUM(D9:D13)</f>
        <v>722.2700000000001</v>
      </c>
      <c r="K17" s="30"/>
    </row>
    <row r="18" spans="2:11" x14ac:dyDescent="0.3">
      <c r="B18" s="29"/>
      <c r="K18" s="30"/>
    </row>
    <row r="19" spans="2:11" x14ac:dyDescent="0.3">
      <c r="B19" s="29"/>
      <c r="K19" s="30"/>
    </row>
    <row r="20" spans="2:11" x14ac:dyDescent="0.3">
      <c r="B20" s="29"/>
      <c r="K20" s="30"/>
    </row>
    <row r="21" spans="2:11" x14ac:dyDescent="0.3">
      <c r="B21" s="29"/>
      <c r="K21" s="30"/>
    </row>
    <row r="22" spans="2:11" x14ac:dyDescent="0.3">
      <c r="B22" s="29"/>
      <c r="K22" s="30"/>
    </row>
    <row r="23" spans="2:11" x14ac:dyDescent="0.3">
      <c r="B23" s="29"/>
      <c r="K23" s="30"/>
    </row>
    <row r="24" spans="2:11" x14ac:dyDescent="0.3">
      <c r="B24" s="31"/>
      <c r="C24" s="32"/>
      <c r="D24" s="32"/>
      <c r="E24" s="32"/>
      <c r="F24" s="32"/>
      <c r="G24" s="32"/>
      <c r="H24" s="32"/>
      <c r="I24" s="32"/>
      <c r="J24" s="32"/>
      <c r="K24" s="33"/>
    </row>
    <row r="27" spans="2:11" x14ac:dyDescent="0.3">
      <c r="B27" s="26"/>
      <c r="C27" s="27"/>
      <c r="D27" s="27"/>
      <c r="E27" s="27"/>
      <c r="F27" s="27"/>
      <c r="G27" s="27"/>
      <c r="H27" s="27"/>
      <c r="I27" s="27"/>
      <c r="J27" s="27"/>
      <c r="K27" s="28"/>
    </row>
    <row r="28" spans="2:11" x14ac:dyDescent="0.3">
      <c r="B28" s="29"/>
      <c r="K28" s="30"/>
    </row>
    <row r="29" spans="2:11" ht="18" x14ac:dyDescent="0.35">
      <c r="B29" s="29"/>
      <c r="C29" s="35" t="s">
        <v>128</v>
      </c>
      <c r="D29" s="44">
        <f>SUM(COUNTIF(Tabela5[Valor de Entrega],"&gt;0"),COUNTIF(Tabela57[Valor de Entrega],"&gt;0"),COUNTIF(Tabela58[Valor de Entrega],"&gt;0"),COUNTIF(Tabela59[Valor de Entrega],"&gt;0"),COUNTIF(Tabela510[Valor de Entrega],"&gt;0"))/SUM('Semana 1'!M33,'Semana 2'!M19,'Semana 3'!M19,'Semana 4'!M19,'Semana 5'!M18)</f>
        <v>0.5</v>
      </c>
      <c r="K29" s="30"/>
    </row>
    <row r="30" spans="2:11" ht="18" x14ac:dyDescent="0.35">
      <c r="B30" s="29"/>
      <c r="C30" s="37" t="s">
        <v>129</v>
      </c>
      <c r="D30" s="38">
        <f>SUMIF(Tabela5[Valor de Entrega],"&gt;0",Tabela5[Total para o Cliente])+SUMIF(Tabela57[Valor de Entrega],"&gt;0",Tabela57[Total para o Cliente])+SUMIF(Tabela58[Valor de Entrega],"&gt;0",Tabela58[Total para o Cliente])+SUMIF(Tabela59[Valor de Entrega],"&gt;0",Tabela59[Total para o Cliente])+SUMIF(Tabela510[Valor de Entrega],"&gt;0",Tabela510[Total para o Cliente])</f>
        <v>395.88</v>
      </c>
      <c r="K30" s="30"/>
    </row>
    <row r="31" spans="2:11" ht="18" x14ac:dyDescent="0.35">
      <c r="B31" s="29"/>
      <c r="C31" s="39" t="s">
        <v>130</v>
      </c>
      <c r="D31" s="40">
        <f>SUM('Semana 1'!M32,'Semana 2'!M18,'Semana 3'!M18,'Semana 4'!M18,'Semana 5'!M17)</f>
        <v>48.5</v>
      </c>
      <c r="K31" s="30"/>
    </row>
    <row r="32" spans="2:11" x14ac:dyDescent="0.3">
      <c r="B32" s="29"/>
      <c r="K32" s="30"/>
    </row>
    <row r="33" spans="2:11" x14ac:dyDescent="0.3">
      <c r="B33" s="29"/>
      <c r="K33" s="30"/>
    </row>
    <row r="34" spans="2:11" x14ac:dyDescent="0.3">
      <c r="B34" s="29"/>
      <c r="K34" s="30"/>
    </row>
    <row r="35" spans="2:11" x14ac:dyDescent="0.3">
      <c r="B35" s="29"/>
      <c r="K35" s="30"/>
    </row>
    <row r="36" spans="2:11" x14ac:dyDescent="0.3">
      <c r="B36" s="29"/>
      <c r="K36" s="30"/>
    </row>
    <row r="37" spans="2:11" x14ac:dyDescent="0.3">
      <c r="B37" s="29"/>
      <c r="K37" s="30"/>
    </row>
    <row r="38" spans="2:11" x14ac:dyDescent="0.3">
      <c r="B38" s="29"/>
      <c r="K38" s="30"/>
    </row>
    <row r="39" spans="2:11" ht="18" x14ac:dyDescent="0.35">
      <c r="B39" s="29"/>
      <c r="C39" s="41" t="s">
        <v>120</v>
      </c>
      <c r="D39" s="42">
        <f>SUM('Semana 1'!M31,'Semana 2'!M17,'Semana 3'!M17,'Semana 4'!M17,'Semana 5'!M16)/SUM('Semana 1'!M33,'Semana 2'!M19,'Semana 3'!M19,'Semana 4'!M19,'Semana 5'!M18)</f>
        <v>51.590714285714292</v>
      </c>
      <c r="K39" s="30"/>
    </row>
    <row r="40" spans="2:11" x14ac:dyDescent="0.3">
      <c r="B40" s="29"/>
      <c r="K40" s="30"/>
    </row>
    <row r="41" spans="2:11" x14ac:dyDescent="0.3">
      <c r="B41" s="29"/>
      <c r="K41" s="30"/>
    </row>
    <row r="42" spans="2:11" x14ac:dyDescent="0.3">
      <c r="B42" s="29"/>
      <c r="K42" s="30"/>
    </row>
    <row r="43" spans="2:11" x14ac:dyDescent="0.3">
      <c r="B43" s="31"/>
      <c r="C43" s="32"/>
      <c r="D43" s="32"/>
      <c r="E43" s="32"/>
      <c r="F43" s="32"/>
      <c r="G43" s="32"/>
      <c r="H43" s="32"/>
      <c r="I43" s="32"/>
      <c r="J43" s="32"/>
      <c r="K43" s="33"/>
    </row>
    <row r="46" spans="2:11" x14ac:dyDescent="0.3">
      <c r="B46" s="26"/>
      <c r="C46" s="27"/>
      <c r="D46" s="27"/>
      <c r="E46" s="27"/>
      <c r="F46" s="27"/>
      <c r="G46" s="27"/>
      <c r="H46" s="27"/>
      <c r="I46" s="27"/>
      <c r="J46" s="27"/>
      <c r="K46" s="28"/>
    </row>
    <row r="47" spans="2:11" x14ac:dyDescent="0.3">
      <c r="B47" s="29"/>
      <c r="K47" s="30"/>
    </row>
    <row r="48" spans="2:11" ht="18" x14ac:dyDescent="0.35">
      <c r="B48" s="29"/>
      <c r="C48" s="41" t="s">
        <v>121</v>
      </c>
      <c r="K48" s="30"/>
    </row>
    <row r="49" spans="2:11" x14ac:dyDescent="0.3">
      <c r="B49" s="29"/>
      <c r="K49" s="30"/>
    </row>
    <row r="50" spans="2:11" ht="18" x14ac:dyDescent="0.35">
      <c r="B50" s="29"/>
      <c r="D50" s="35" t="s">
        <v>131</v>
      </c>
      <c r="K50" s="30"/>
    </row>
    <row r="51" spans="2:11" ht="18" x14ac:dyDescent="0.35">
      <c r="B51" s="29"/>
      <c r="C51" s="35" t="s">
        <v>109</v>
      </c>
      <c r="D51" s="35">
        <f>COUNTIFS(Tabela5[Entrega],Vendas!C51,Tabela5[Total para o Cliente],"&gt;0")+COUNTIFS(Tabela57[Entrega],Vendas!C51,Tabela57[Total para o Cliente],"&gt;0")+COUNTIFS(Tabela58[Entrega],Vendas!C51,Tabela58[Total para o Cliente],"&gt;0")+COUNTIFS(Tabela59[Entrega],Vendas!C51,Tabela59[Total para o Cliente],"&gt;0")+COUNTIFS(Tabela510[Entrega],Vendas!C51,Tabela510[Total para o Cliente],"&gt;0")</f>
        <v>7</v>
      </c>
      <c r="K51" s="30"/>
    </row>
    <row r="52" spans="2:11" ht="18" x14ac:dyDescent="0.35">
      <c r="B52" s="29"/>
      <c r="C52" s="37" t="s">
        <v>108</v>
      </c>
      <c r="D52" s="35">
        <f>COUNTIFS(Tabela5[Entrega],Vendas!C52,Tabela5[Total para o Cliente],"&gt;0")+COUNTIFS(Tabela57[Entrega],Vendas!C52,Tabela57[Total para o Cliente],"&gt;0")+COUNTIFS(Tabela58[Entrega],Vendas!C52,Tabela58[Total para o Cliente],"&gt;0")+COUNTIFS(Tabela59[Entrega],Vendas!C52,Tabela59[Total para o Cliente],"&gt;0")+COUNTIFS(Tabela510[Entrega],Vendas!C52,Tabela510[Total para o Cliente],"&gt;0")</f>
        <v>0</v>
      </c>
      <c r="K52" s="30"/>
    </row>
    <row r="53" spans="2:11" ht="18" x14ac:dyDescent="0.35">
      <c r="B53" s="29"/>
      <c r="C53" s="37" t="s">
        <v>110</v>
      </c>
      <c r="D53" s="35">
        <f>COUNTIFS(Tabela5[Entrega],Vendas!C53,Tabela5[Total para o Cliente],"&gt;0")+COUNTIFS(Tabela57[Entrega],Vendas!C53,Tabela57[Total para o Cliente],"&gt;0")+COUNTIFS(Tabela58[Entrega],Vendas!C53,Tabela58[Total para o Cliente],"&gt;0")+COUNTIFS(Tabela59[Entrega],Vendas!C53,Tabela59[Total para o Cliente],"&gt;0")+COUNTIFS(Tabela510[Entrega],Vendas!C53,Tabela510[Total para o Cliente],"&gt;0")</f>
        <v>2</v>
      </c>
      <c r="K53" s="30"/>
    </row>
    <row r="54" spans="2:11" ht="18" x14ac:dyDescent="0.35">
      <c r="B54" s="29"/>
      <c r="C54" s="37" t="s">
        <v>111</v>
      </c>
      <c r="D54" s="35">
        <f>COUNTIFS(Tabela5[Entrega],Vendas!C54,Tabela5[Total para o Cliente],"&gt;0")+COUNTIFS(Tabela57[Entrega],Vendas!C54,Tabela57[Total para o Cliente],"&gt;0")+COUNTIFS(Tabela58[Entrega],Vendas!C54,Tabela58[Total para o Cliente],"&gt;0")+COUNTIFS(Tabela59[Entrega],Vendas!C54,Tabela59[Total para o Cliente],"&gt;0")+COUNTIFS(Tabela510[Entrega],Vendas!C54,Tabela510[Total para o Cliente],"&gt;0")</f>
        <v>2</v>
      </c>
      <c r="K54" s="30"/>
    </row>
    <row r="55" spans="2:11" ht="18" x14ac:dyDescent="0.35">
      <c r="B55" s="29"/>
      <c r="C55" s="39" t="s">
        <v>112</v>
      </c>
      <c r="D55" s="39">
        <f>COUNTIFS(Tabela5[Entrega],Vendas!C55,Tabela5[Total para o Cliente],"&gt;0")+COUNTIFS(Tabela57[Entrega],Vendas!C55,Tabela57[Total para o Cliente],"&gt;0")+COUNTIFS(Tabela58[Entrega],Vendas!C55,Tabela58[Total para o Cliente],"&gt;0")+COUNTIFS(Tabela59[Entrega],Vendas!C55,Tabela59[Total para o Cliente],"&gt;0")+COUNTIFS(Tabela510[Entrega],Vendas!C55,Tabela510[Total para o Cliente],"&gt;0")</f>
        <v>3</v>
      </c>
      <c r="K55" s="30"/>
    </row>
    <row r="56" spans="2:11" x14ac:dyDescent="0.3">
      <c r="B56" s="29"/>
      <c r="K56" s="30"/>
    </row>
    <row r="57" spans="2:11" x14ac:dyDescent="0.3">
      <c r="B57" s="29"/>
      <c r="K57" s="30"/>
    </row>
    <row r="58" spans="2:11" x14ac:dyDescent="0.3">
      <c r="B58" s="29"/>
      <c r="K58" s="30"/>
    </row>
    <row r="59" spans="2:11" x14ac:dyDescent="0.3">
      <c r="B59" s="29"/>
      <c r="K59" s="30"/>
    </row>
    <row r="60" spans="2:11" x14ac:dyDescent="0.3">
      <c r="B60" s="31"/>
      <c r="C60" s="32"/>
      <c r="D60" s="32"/>
      <c r="E60" s="32"/>
      <c r="F60" s="32"/>
      <c r="G60" s="32"/>
      <c r="H60" s="32"/>
      <c r="I60" s="32"/>
      <c r="J60" s="32"/>
      <c r="K60" s="33"/>
    </row>
  </sheetData>
  <phoneticPr fontId="6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A24A7-C744-4700-A6E6-ECFC373BAB01}">
  <dimension ref="B2:M33"/>
  <sheetViews>
    <sheetView showGridLines="0" topLeftCell="A4" workbookViewId="0">
      <selection activeCell="E3" sqref="E3"/>
    </sheetView>
  </sheetViews>
  <sheetFormatPr defaultRowHeight="14.4" x14ac:dyDescent="0.3"/>
  <cols>
    <col min="1" max="1" width="19.88671875" customWidth="1"/>
    <col min="2" max="2" width="26.109375" bestFit="1" customWidth="1"/>
    <col min="3" max="3" width="16" customWidth="1"/>
    <col min="4" max="4" width="15.109375" customWidth="1"/>
    <col min="5" max="5" width="11.88671875" customWidth="1"/>
    <col min="6" max="6" width="14.77734375" customWidth="1"/>
    <col min="7" max="7" width="17.109375" customWidth="1"/>
    <col min="8" max="8" width="10.5546875" customWidth="1"/>
    <col min="9" max="9" width="11" customWidth="1"/>
    <col min="10" max="10" width="11.88671875" customWidth="1"/>
    <col min="11" max="12" width="17.33203125" customWidth="1"/>
    <col min="13" max="13" width="19.6640625" customWidth="1"/>
  </cols>
  <sheetData>
    <row r="2" spans="2:13" s="18" customFormat="1" ht="28.05" customHeight="1" x14ac:dyDescent="0.3">
      <c r="B2" s="17" t="s">
        <v>100</v>
      </c>
    </row>
    <row r="3" spans="2:13" ht="34.200000000000003" customHeight="1" x14ac:dyDescent="0.3"/>
    <row r="5" spans="2:13" x14ac:dyDescent="0.3">
      <c r="B5" t="s">
        <v>101</v>
      </c>
      <c r="C5" t="s">
        <v>42</v>
      </c>
      <c r="D5" t="s">
        <v>93</v>
      </c>
      <c r="E5" t="s">
        <v>56</v>
      </c>
      <c r="F5" t="s">
        <v>57</v>
      </c>
      <c r="G5" t="s">
        <v>58</v>
      </c>
      <c r="H5" t="s">
        <v>102</v>
      </c>
      <c r="I5" t="s">
        <v>59</v>
      </c>
      <c r="J5" t="s">
        <v>103</v>
      </c>
      <c r="K5" t="s">
        <v>104</v>
      </c>
      <c r="L5" t="s">
        <v>113</v>
      </c>
      <c r="M5" t="s">
        <v>105</v>
      </c>
    </row>
    <row r="6" spans="2:13" x14ac:dyDescent="0.3">
      <c r="B6">
        <v>13</v>
      </c>
      <c r="C6" s="24">
        <v>42190</v>
      </c>
      <c r="D6" t="s">
        <v>34</v>
      </c>
      <c r="E6" t="str">
        <f>IFERROR(VLOOKUP(Tabela5[[#This Row],[Produto]],Cálculos!$J$5:$M$33,4,FALSE),"")</f>
        <v>Pacote</v>
      </c>
      <c r="F6">
        <v>1</v>
      </c>
      <c r="G6" s="3">
        <f>IFERROR(VLOOKUP(Tabela5[[#This Row],[Produto]],Cálculos!$J$5:$M$33,3,FALSE),0)</f>
        <v>0.79</v>
      </c>
      <c r="H6" s="3">
        <f>Tabela5[[#This Row],[Quantidade]]*Tabela5[[#This Row],[Preço Unitário]]</f>
        <v>0.79</v>
      </c>
      <c r="I6" s="6"/>
      <c r="J6" t="s">
        <v>112</v>
      </c>
      <c r="K6" s="3">
        <f>IFERROR(IF(Tabela5[[#This Row],[ID da Venda]]=B7,0,VLOOKUP(Tabela5[[#This Row],[Entrega]],Cálculos!$B$5:$C$9,2,FALSE)),0)</f>
        <v>0</v>
      </c>
      <c r="L6" s="3">
        <f>Tabela5[[#This Row],[Subtotal]]*(1-Tabela5[[#This Row],[Desconto]])+Tabela5[[#This Row],[Valor de Entrega]]</f>
        <v>0.79</v>
      </c>
      <c r="M6" s="3" t="str">
        <f>IF(Tabela5[[#This Row],[ID da Venda]]=B7,"",SUMIF(Tabela5[ID da Venda],Tabela5[[#This Row],[ID da Venda]],Tabela5[Total]))</f>
        <v/>
      </c>
    </row>
    <row r="7" spans="2:13" x14ac:dyDescent="0.3">
      <c r="B7">
        <v>13</v>
      </c>
      <c r="C7" s="24">
        <v>42190</v>
      </c>
      <c r="D7" t="s">
        <v>22</v>
      </c>
      <c r="E7" t="str">
        <f>IFERROR(VLOOKUP(Tabela5[[#This Row],[Produto]],Cálculos!$J$5:$M$33,4,FALSE),"")</f>
        <v>Kg</v>
      </c>
      <c r="F7">
        <v>10</v>
      </c>
      <c r="G7" s="3">
        <f>IFERROR(VLOOKUP(Tabela5[[#This Row],[Produto]],Cálculos!$J$5:$M$33,3,FALSE),0)</f>
        <v>15.9</v>
      </c>
      <c r="H7" s="3">
        <f>Tabela5[[#This Row],[Quantidade]]*Tabela5[[#This Row],[Preço Unitário]]</f>
        <v>159</v>
      </c>
      <c r="I7" s="6"/>
      <c r="J7" t="s">
        <v>112</v>
      </c>
      <c r="K7" s="3">
        <f>IFERROR(IF(Tabela5[[#This Row],[ID da Venda]]=B8,0,VLOOKUP(Tabela5[[#This Row],[Entrega]],Cálculos!$B$5:$C$9,2,FALSE)),0)</f>
        <v>0</v>
      </c>
      <c r="L7" s="3">
        <f>Tabela5[[#This Row],[Subtotal]]*(1-Tabela5[[#This Row],[Desconto]])+Tabela5[[#This Row],[Valor de Entrega]]</f>
        <v>159</v>
      </c>
      <c r="M7" s="3" t="str">
        <f>IF(Tabela5[[#This Row],[ID da Venda]]=B8,"",SUMIF(Tabela5[ID da Venda],Tabela5[[#This Row],[ID da Venda]],Tabela5[Total]))</f>
        <v/>
      </c>
    </row>
    <row r="8" spans="2:13" x14ac:dyDescent="0.3">
      <c r="B8">
        <v>13</v>
      </c>
      <c r="C8" s="24">
        <v>42190</v>
      </c>
      <c r="D8" t="s">
        <v>31</v>
      </c>
      <c r="E8" t="str">
        <f>IFERROR(VLOOKUP(Tabela5[[#This Row],[Produto]],Cálculos!$J$5:$M$33,4,FALSE),"")</f>
        <v>Lata</v>
      </c>
      <c r="F8">
        <v>24</v>
      </c>
      <c r="G8" s="3">
        <f>IFERROR(VLOOKUP(Tabela5[[#This Row],[Produto]],Cálculos!$J$5:$M$33,3,FALSE),0)</f>
        <v>2.19</v>
      </c>
      <c r="H8" s="3">
        <f>Tabela5[[#This Row],[Quantidade]]*Tabela5[[#This Row],[Preço Unitário]]</f>
        <v>52.56</v>
      </c>
      <c r="I8" s="6"/>
      <c r="J8" t="s">
        <v>112</v>
      </c>
      <c r="K8" s="3">
        <f>IFERROR(IF(Tabela5[[#This Row],[ID da Venda]]=B9,0,VLOOKUP(Tabela5[[#This Row],[Entrega]],Cálculos!$B$5:$C$9,2,FALSE)),0)</f>
        <v>6.5</v>
      </c>
      <c r="L8" s="3">
        <f>Tabela5[[#This Row],[Subtotal]]*(1-Tabela5[[#This Row],[Desconto]])+Tabela5[[#This Row],[Valor de Entrega]]</f>
        <v>59.06</v>
      </c>
      <c r="M8" s="3">
        <f>IF(Tabela5[[#This Row],[ID da Venda]]=B9,"",SUMIF(Tabela5[ID da Venda],Tabela5[[#This Row],[ID da Venda]],Tabela5[Total]))</f>
        <v>218.85</v>
      </c>
    </row>
    <row r="9" spans="2:13" x14ac:dyDescent="0.3">
      <c r="B9">
        <v>12</v>
      </c>
      <c r="C9" s="24">
        <v>42189</v>
      </c>
      <c r="D9" t="s">
        <v>31</v>
      </c>
      <c r="E9" t="str">
        <f>IFERROR(VLOOKUP(Tabela5[[#This Row],[Produto]],Cálculos!$J$5:$M$33,4,FALSE),"")</f>
        <v>Lata</v>
      </c>
      <c r="F9">
        <v>1</v>
      </c>
      <c r="G9" s="3">
        <f>IFERROR(VLOOKUP(Tabela5[[#This Row],[Produto]],Cálculos!$J$5:$M$33,3,FALSE),0)</f>
        <v>2.19</v>
      </c>
      <c r="H9" s="3">
        <f>Tabela5[[#This Row],[Quantidade]]*Tabela5[[#This Row],[Preço Unitário]]</f>
        <v>2.19</v>
      </c>
      <c r="I9" s="6"/>
      <c r="J9" t="s">
        <v>109</v>
      </c>
      <c r="K9" s="3">
        <f>IFERROR(IF(Tabela5[[#This Row],[ID da Venda]]=B10,0,VLOOKUP(Tabela5[[#This Row],[Entrega]],Cálculos!$B$5:$C$9,2,FALSE)),0)</f>
        <v>0</v>
      </c>
      <c r="L9" s="3">
        <f>Tabela5[[#This Row],[Subtotal]]*(1-Tabela5[[#This Row],[Desconto]])+Tabela5[[#This Row],[Valor de Entrega]]</f>
        <v>2.19</v>
      </c>
      <c r="M9" s="3">
        <f>IF(Tabela5[[#This Row],[ID da Venda]]=B10,"",SUMIF(Tabela5[ID da Venda],Tabela5[[#This Row],[ID da Venda]],Tabela5[Total]))</f>
        <v>2.19</v>
      </c>
    </row>
    <row r="10" spans="2:13" x14ac:dyDescent="0.3">
      <c r="B10">
        <v>11</v>
      </c>
      <c r="C10" s="24">
        <v>42189</v>
      </c>
      <c r="D10" t="s">
        <v>31</v>
      </c>
      <c r="E10" t="str">
        <f>IFERROR(VLOOKUP(Tabela5[[#This Row],[Produto]],Cálculos!$J$5:$M$33,4,FALSE),"")</f>
        <v>Lata</v>
      </c>
      <c r="F10">
        <v>10</v>
      </c>
      <c r="G10" s="3">
        <f>IFERROR(VLOOKUP(Tabela5[[#This Row],[Produto]],Cálculos!$J$5:$M$33,3,FALSE),0)</f>
        <v>2.19</v>
      </c>
      <c r="H10" s="3">
        <f>Tabela5[[#This Row],[Quantidade]]*Tabela5[[#This Row],[Preço Unitário]]</f>
        <v>21.9</v>
      </c>
      <c r="I10" s="6"/>
      <c r="J10" t="s">
        <v>109</v>
      </c>
      <c r="K10" s="3">
        <f>IFERROR(IF(Tabela5[[#This Row],[ID da Venda]]=B11,0,VLOOKUP(Tabela5[[#This Row],[Entrega]],Cálculos!$B$5:$C$9,2,FALSE)),0)</f>
        <v>0</v>
      </c>
      <c r="L10" s="3">
        <f>Tabela5[[#This Row],[Subtotal]]*(1-Tabela5[[#This Row],[Desconto]])+Tabela5[[#This Row],[Valor de Entrega]]</f>
        <v>21.9</v>
      </c>
      <c r="M10" s="3">
        <f>IF(Tabela5[[#This Row],[ID da Venda]]=B11,"",SUMIF(Tabela5[ID da Venda],Tabela5[[#This Row],[ID da Venda]],Tabela5[Total]))</f>
        <v>21.9</v>
      </c>
    </row>
    <row r="11" spans="2:13" x14ac:dyDescent="0.3">
      <c r="B11">
        <v>10</v>
      </c>
      <c r="C11" s="24">
        <v>42189</v>
      </c>
      <c r="D11" t="s">
        <v>19</v>
      </c>
      <c r="E11" t="str">
        <f>IFERROR(VLOOKUP(Tabela5[[#This Row],[Produto]],Cálculos!$J$5:$M$33,4,FALSE),"")</f>
        <v>Kg</v>
      </c>
      <c r="F11">
        <v>6</v>
      </c>
      <c r="G11" s="3">
        <f>IFERROR(VLOOKUP(Tabela5[[#This Row],[Produto]],Cálculos!$J$5:$M$33,3,FALSE),0)</f>
        <v>4.28</v>
      </c>
      <c r="H11" s="3">
        <f>Tabela5[[#This Row],[Quantidade]]*Tabela5[[#This Row],[Preço Unitário]]</f>
        <v>25.68</v>
      </c>
      <c r="I11" s="6"/>
      <c r="J11" t="s">
        <v>109</v>
      </c>
      <c r="K11" s="3">
        <f>IFERROR(IF(Tabela5[[#This Row],[ID da Venda]]=B12,0,VLOOKUP(Tabela5[[#This Row],[Entrega]],Cálculos!$B$5:$C$9,2,FALSE)),0)</f>
        <v>0</v>
      </c>
      <c r="L11" s="3">
        <f>Tabela5[[#This Row],[Subtotal]]*(1-Tabela5[[#This Row],[Desconto]])+Tabela5[[#This Row],[Valor de Entrega]]</f>
        <v>25.68</v>
      </c>
      <c r="M11" s="3" t="str">
        <f>IF(Tabela5[[#This Row],[ID da Venda]]=B12,"",SUMIF(Tabela5[ID da Venda],Tabela5[[#This Row],[ID da Venda]],Tabela5[Total]))</f>
        <v/>
      </c>
    </row>
    <row r="12" spans="2:13" x14ac:dyDescent="0.3">
      <c r="B12">
        <v>10</v>
      </c>
      <c r="C12" s="24">
        <v>42189</v>
      </c>
      <c r="D12" t="s">
        <v>73</v>
      </c>
      <c r="E12" t="str">
        <f>IFERROR(VLOOKUP(Tabela5[[#This Row],[Produto]],Cálculos!$J$5:$M$33,4,FALSE),"")</f>
        <v>Litro</v>
      </c>
      <c r="F12">
        <v>4</v>
      </c>
      <c r="G12" s="3">
        <f>IFERROR(VLOOKUP(Tabela5[[#This Row],[Produto]],Cálculos!$J$5:$M$33,3,FALSE),0)</f>
        <v>2.39</v>
      </c>
      <c r="H12" s="3">
        <f>Tabela5[[#This Row],[Quantidade]]*Tabela5[[#This Row],[Preço Unitário]]</f>
        <v>9.56</v>
      </c>
      <c r="I12" s="6"/>
      <c r="J12" t="s">
        <v>109</v>
      </c>
      <c r="K12" s="3">
        <f>IFERROR(IF(Tabela5[[#This Row],[ID da Venda]]=B13,0,VLOOKUP(Tabela5[[#This Row],[Entrega]],Cálculos!$B$5:$C$9,2,FALSE)),0)</f>
        <v>0</v>
      </c>
      <c r="L12" s="3">
        <f>Tabela5[[#This Row],[Subtotal]]*(1-Tabela5[[#This Row],[Desconto]])+Tabela5[[#This Row],[Valor de Entrega]]</f>
        <v>9.56</v>
      </c>
      <c r="M12" s="3">
        <f>IF(Tabela5[[#This Row],[ID da Venda]]=B13,"",SUMIF(Tabela5[ID da Venda],Tabela5[[#This Row],[ID da Venda]],Tabela5[Total]))</f>
        <v>35.24</v>
      </c>
    </row>
    <row r="13" spans="2:13" x14ac:dyDescent="0.3">
      <c r="B13">
        <v>9</v>
      </c>
      <c r="C13" s="24">
        <v>42188</v>
      </c>
      <c r="D13" t="s">
        <v>72</v>
      </c>
      <c r="E13" t="str">
        <f>IFERROR(VLOOKUP(Tabela5[[#This Row],[Produto]],Cálculos!$J$5:$M$33,4,FALSE),"")</f>
        <v>Unidade</v>
      </c>
      <c r="F13">
        <v>5</v>
      </c>
      <c r="G13" s="3">
        <f>IFERROR(VLOOKUP(Tabela5[[#This Row],[Produto]],Cálculos!$J$5:$M$33,3,FALSE),0)</f>
        <v>2.89</v>
      </c>
      <c r="H13" s="3">
        <f>Tabela5[[#This Row],[Quantidade]]*Tabela5[[#This Row],[Preço Unitário]]</f>
        <v>14.450000000000001</v>
      </c>
      <c r="J13" t="s">
        <v>109</v>
      </c>
      <c r="K13" s="3">
        <f>IFERROR(IF(Tabela5[[#This Row],[ID da Venda]]=B14,0,VLOOKUP(Tabela5[[#This Row],[Entrega]],Cálculos!$B$5:$C$9,2,FALSE)),0)</f>
        <v>0</v>
      </c>
      <c r="L13" s="3">
        <f>Tabela5[[#This Row],[Subtotal]]*(1-Tabela5[[#This Row],[Desconto]])+Tabela5[[#This Row],[Valor de Entrega]]</f>
        <v>14.450000000000001</v>
      </c>
      <c r="M13" s="3" t="str">
        <f>IF(Tabela5[[#This Row],[ID da Venda]]=B14,"",SUMIF(Tabela5[ID da Venda],Tabela5[[#This Row],[ID da Venda]],Tabela5[Total]))</f>
        <v/>
      </c>
    </row>
    <row r="14" spans="2:13" x14ac:dyDescent="0.3">
      <c r="B14">
        <v>9</v>
      </c>
      <c r="C14" s="24">
        <v>42188</v>
      </c>
      <c r="D14" t="s">
        <v>29</v>
      </c>
      <c r="E14" t="str">
        <f>IFERROR(VLOOKUP(Tabela5[[#This Row],[Produto]],Cálculos!$J$5:$M$33,4,FALSE),"")</f>
        <v>Kg</v>
      </c>
      <c r="F14">
        <v>2</v>
      </c>
      <c r="G14" s="3">
        <f>IFERROR(VLOOKUP(Tabela5[[#This Row],[Produto]],Cálculos!$J$5:$M$33,3,FALSE),0)</f>
        <v>9.58</v>
      </c>
      <c r="H14" s="3">
        <f>Tabela5[[#This Row],[Quantidade]]*Tabela5[[#This Row],[Preço Unitário]]</f>
        <v>19.16</v>
      </c>
      <c r="J14" t="s">
        <v>109</v>
      </c>
      <c r="K14" s="3">
        <f>IFERROR(IF(Tabela5[[#This Row],[ID da Venda]]=B15,0,VLOOKUP(Tabela5[[#This Row],[Entrega]],Cálculos!$B$5:$C$9,2,FALSE)),0)</f>
        <v>0</v>
      </c>
      <c r="L14" s="3">
        <f>Tabela5[[#This Row],[Subtotal]]*(1-Tabela5[[#This Row],[Desconto]])+Tabela5[[#This Row],[Valor de Entrega]]</f>
        <v>19.16</v>
      </c>
      <c r="M14" s="3" t="str">
        <f>IF(Tabela5[[#This Row],[ID da Venda]]=B15,"",SUMIF(Tabela5[ID da Venda],Tabela5[[#This Row],[ID da Venda]],Tabela5[Total]))</f>
        <v/>
      </c>
    </row>
    <row r="15" spans="2:13" x14ac:dyDescent="0.3">
      <c r="B15">
        <v>9</v>
      </c>
      <c r="C15" s="24">
        <v>42188</v>
      </c>
      <c r="D15" t="s">
        <v>25</v>
      </c>
      <c r="E15" t="str">
        <f>IFERROR(VLOOKUP(Tabela5[[#This Row],[Produto]],Cálculos!$J$5:$M$33,4,FALSE),"")</f>
        <v>Kg</v>
      </c>
      <c r="F15">
        <v>1.5</v>
      </c>
      <c r="G15" s="3">
        <f>IFERROR(VLOOKUP(Tabela5[[#This Row],[Produto]],Cálculos!$J$5:$M$33,3,FALSE),0)</f>
        <v>25.9</v>
      </c>
      <c r="H15" s="3">
        <f>Tabela5[[#This Row],[Quantidade]]*Tabela5[[#This Row],[Preço Unitário]]</f>
        <v>38.849999999999994</v>
      </c>
      <c r="J15" t="s">
        <v>109</v>
      </c>
      <c r="K15" s="3">
        <f>IFERROR(IF(Tabela5[[#This Row],[ID da Venda]]=B16,0,VLOOKUP(Tabela5[[#This Row],[Entrega]],Cálculos!$B$5:$C$9,2,FALSE)),0)</f>
        <v>0</v>
      </c>
      <c r="L15" s="3">
        <f>Tabela5[[#This Row],[Subtotal]]*(1-Tabela5[[#This Row],[Desconto]])+Tabela5[[#This Row],[Valor de Entrega]]</f>
        <v>38.849999999999994</v>
      </c>
      <c r="M15" s="3" t="str">
        <f>IF(Tabela5[[#This Row],[ID da Venda]]=B16,"",SUMIF(Tabela5[ID da Venda],Tabela5[[#This Row],[ID da Venda]],Tabela5[Total]))</f>
        <v/>
      </c>
    </row>
    <row r="16" spans="2:13" x14ac:dyDescent="0.3">
      <c r="B16">
        <v>9</v>
      </c>
      <c r="C16" s="24">
        <v>42188</v>
      </c>
      <c r="D16" t="s">
        <v>19</v>
      </c>
      <c r="E16" t="str">
        <f>IFERROR(VLOOKUP(Tabela5[[#This Row],[Produto]],Cálculos!$J$5:$M$33,4,FALSE),"")</f>
        <v>Kg</v>
      </c>
      <c r="F16">
        <v>4</v>
      </c>
      <c r="G16" s="3">
        <f>IFERROR(VLOOKUP(Tabela5[[#This Row],[Produto]],Cálculos!$J$5:$M$33,3,FALSE),0)</f>
        <v>4.28</v>
      </c>
      <c r="H16" s="3">
        <f>Tabela5[[#This Row],[Quantidade]]*Tabela5[[#This Row],[Preço Unitário]]</f>
        <v>17.12</v>
      </c>
      <c r="J16" t="s">
        <v>109</v>
      </c>
      <c r="K16" s="3">
        <f>IFERROR(IF(Tabela5[[#This Row],[ID da Venda]]=B17,0,VLOOKUP(Tabela5[[#This Row],[Entrega]],Cálculos!$B$5:$C$9,2,FALSE)),0)</f>
        <v>0</v>
      </c>
      <c r="L16" s="3">
        <f>Tabela5[[#This Row],[Subtotal]]*(1-Tabela5[[#This Row],[Desconto]])+Tabela5[[#This Row],[Valor de Entrega]]</f>
        <v>17.12</v>
      </c>
      <c r="M16" s="3">
        <f>IF(Tabela5[[#This Row],[ID da Venda]]=B17,"",SUMIF(Tabela5[ID da Venda],Tabela5[[#This Row],[ID da Venda]],Tabela5[Total]))</f>
        <v>89.58</v>
      </c>
    </row>
    <row r="17" spans="2:13" x14ac:dyDescent="0.3">
      <c r="B17">
        <v>8</v>
      </c>
      <c r="C17" s="24">
        <v>42188</v>
      </c>
      <c r="D17" t="s">
        <v>31</v>
      </c>
      <c r="E17" t="str">
        <f>IFERROR(VLOOKUP(Tabela5[[#This Row],[Produto]],Cálculos!$J$5:$M$33,4,FALSE),"")</f>
        <v>Lata</v>
      </c>
      <c r="F17">
        <v>20</v>
      </c>
      <c r="G17" s="3">
        <f>IFERROR(VLOOKUP(Tabela5[[#This Row],[Produto]],Cálculos!$J$5:$M$33,3,FALSE),0)</f>
        <v>2.19</v>
      </c>
      <c r="H17" s="3">
        <f>Tabela5[[#This Row],[Quantidade]]*Tabela5[[#This Row],[Preço Unitário]]</f>
        <v>43.8</v>
      </c>
      <c r="J17" t="s">
        <v>112</v>
      </c>
      <c r="K17" s="3">
        <f>IFERROR(IF(Tabela5[[#This Row],[ID da Venda]]=B18,0,VLOOKUP(Tabela5[[#This Row],[Entrega]],Cálculos!$B$5:$C$9,2,FALSE)),0)</f>
        <v>6.5</v>
      </c>
      <c r="L17" s="3">
        <f>Tabela5[[#This Row],[Subtotal]]*(1-Tabela5[[#This Row],[Desconto]])+Tabela5[[#This Row],[Valor de Entrega]]</f>
        <v>50.3</v>
      </c>
      <c r="M17" s="3">
        <f>IF(Tabela5[[#This Row],[ID da Venda]]=B18,"",SUMIF(Tabela5[ID da Venda],Tabela5[[#This Row],[ID da Venda]],Tabela5[Total]))</f>
        <v>50.3</v>
      </c>
    </row>
    <row r="18" spans="2:13" x14ac:dyDescent="0.3">
      <c r="B18">
        <v>7</v>
      </c>
      <c r="C18" s="24">
        <v>42188</v>
      </c>
      <c r="D18" t="s">
        <v>31</v>
      </c>
      <c r="E18" t="str">
        <f>IFERROR(VLOOKUP(Tabela5[[#This Row],[Produto]],Cálculos!$J$5:$M$33,4,FALSE),"")</f>
        <v>Lata</v>
      </c>
      <c r="F18">
        <v>20</v>
      </c>
      <c r="G18" s="3">
        <f>IFERROR(VLOOKUP(Tabela5[[#This Row],[Produto]],Cálculos!$J$5:$M$33,3,FALSE),0)</f>
        <v>2.19</v>
      </c>
      <c r="H18" s="3">
        <f>Tabela5[[#This Row],[Quantidade]]*Tabela5[[#This Row],[Preço Unitário]]</f>
        <v>43.8</v>
      </c>
      <c r="J18" t="s">
        <v>109</v>
      </c>
      <c r="K18" s="3">
        <f>IFERROR(IF(Tabela5[[#This Row],[ID da Venda]]=B19,0,VLOOKUP(Tabela5[[#This Row],[Entrega]],Cálculos!$B$5:$C$9,2,FALSE)),0)</f>
        <v>0</v>
      </c>
      <c r="L18" s="3">
        <f>Tabela5[[#This Row],[Subtotal]]*(1-Tabela5[[#This Row],[Desconto]])+Tabela5[[#This Row],[Valor de Entrega]]</f>
        <v>43.8</v>
      </c>
      <c r="M18" s="3">
        <f>IF(Tabela5[[#This Row],[ID da Venda]]=B19,"",SUMIF(Tabela5[ID da Venda],Tabela5[[#This Row],[ID da Venda]],Tabela5[Total]))</f>
        <v>43.8</v>
      </c>
    </row>
    <row r="19" spans="2:13" x14ac:dyDescent="0.3">
      <c r="B19">
        <v>6</v>
      </c>
      <c r="C19" s="24">
        <v>42188</v>
      </c>
      <c r="D19" t="s">
        <v>34</v>
      </c>
      <c r="E19" t="str">
        <f>IFERROR(VLOOKUP(Tabela5[[#This Row],[Produto]],Cálculos!$J$5:$M$33,4,FALSE),"")</f>
        <v>Pacote</v>
      </c>
      <c r="F19">
        <v>2</v>
      </c>
      <c r="G19" s="3">
        <f>IFERROR(VLOOKUP(Tabela5[[#This Row],[Produto]],Cálculos!$J$5:$M$33,3,FALSE),0)</f>
        <v>0.79</v>
      </c>
      <c r="H19" s="3">
        <f>Tabela5[[#This Row],[Quantidade]]*Tabela5[[#This Row],[Preço Unitário]]</f>
        <v>1.58</v>
      </c>
      <c r="J19" t="s">
        <v>109</v>
      </c>
      <c r="K19" s="3">
        <f>IFERROR(IF(Tabela5[[#This Row],[ID da Venda]]=B20,0,VLOOKUP(Tabela5[[#This Row],[Entrega]],Cálculos!$B$5:$C$9,2,FALSE)),0)</f>
        <v>0</v>
      </c>
      <c r="L19" s="3">
        <f>Tabela5[[#This Row],[Subtotal]]*(1-Tabela5[[#This Row],[Desconto]])+Tabela5[[#This Row],[Valor de Entrega]]</f>
        <v>1.58</v>
      </c>
      <c r="M19" s="3" t="str">
        <f>IF(Tabela5[[#This Row],[ID da Venda]]=B20,"",SUMIF(Tabela5[ID da Venda],Tabela5[[#This Row],[ID da Venda]],Tabela5[Total]))</f>
        <v/>
      </c>
    </row>
    <row r="20" spans="2:13" x14ac:dyDescent="0.3">
      <c r="B20">
        <v>6</v>
      </c>
      <c r="C20" s="24">
        <v>42188</v>
      </c>
      <c r="D20" t="s">
        <v>22</v>
      </c>
      <c r="E20" t="str">
        <f>IFERROR(VLOOKUP(Tabela5[[#This Row],[Produto]],Cálculos!$J$5:$M$33,4,FALSE),"")</f>
        <v>Kg</v>
      </c>
      <c r="F20">
        <v>6</v>
      </c>
      <c r="G20" s="3">
        <f>IFERROR(VLOOKUP(Tabela5[[#This Row],[Produto]],Cálculos!$J$5:$M$33,3,FALSE),0)</f>
        <v>15.9</v>
      </c>
      <c r="H20" s="3">
        <f>Tabela5[[#This Row],[Quantidade]]*Tabela5[[#This Row],[Preço Unitário]]</f>
        <v>95.4</v>
      </c>
      <c r="J20" t="s">
        <v>109</v>
      </c>
      <c r="K20" s="3">
        <f>IFERROR(IF(Tabela5[[#This Row],[ID da Venda]]=B21,0,VLOOKUP(Tabela5[[#This Row],[Entrega]],Cálculos!$B$5:$C$9,2,FALSE)),0)</f>
        <v>0</v>
      </c>
      <c r="L20" s="3">
        <f>Tabela5[[#This Row],[Subtotal]]*(1-Tabela5[[#This Row],[Desconto]])+Tabela5[[#This Row],[Valor de Entrega]]</f>
        <v>95.4</v>
      </c>
      <c r="M20" s="3" t="str">
        <f>IF(Tabela5[[#This Row],[ID da Venda]]=B21,"",SUMIF(Tabela5[ID da Venda],Tabela5[[#This Row],[ID da Venda]],Tabela5[Total]))</f>
        <v/>
      </c>
    </row>
    <row r="21" spans="2:13" x14ac:dyDescent="0.3">
      <c r="B21">
        <v>6</v>
      </c>
      <c r="C21" s="24">
        <v>42188</v>
      </c>
      <c r="D21" t="s">
        <v>31</v>
      </c>
      <c r="E21" t="str">
        <f>IFERROR(VLOOKUP(Tabela5[[#This Row],[Produto]],Cálculos!$J$5:$M$33,4,FALSE),"")</f>
        <v>Lata</v>
      </c>
      <c r="F21">
        <v>12</v>
      </c>
      <c r="G21" s="3">
        <f>IFERROR(VLOOKUP(Tabela5[[#This Row],[Produto]],Cálculos!$J$5:$M$33,3,FALSE),0)</f>
        <v>2.19</v>
      </c>
      <c r="H21" s="3">
        <f>Tabela5[[#This Row],[Quantidade]]*Tabela5[[#This Row],[Preço Unitário]]</f>
        <v>26.28</v>
      </c>
      <c r="J21" t="s">
        <v>109</v>
      </c>
      <c r="K21" s="3">
        <f>IFERROR(IF(Tabela5[[#This Row],[ID da Venda]]=B22,0,VLOOKUP(Tabela5[[#This Row],[Entrega]],Cálculos!$B$5:$C$9,2,FALSE)),0)</f>
        <v>0</v>
      </c>
      <c r="L21" s="3">
        <f>Tabela5[[#This Row],[Subtotal]]*(1-Tabela5[[#This Row],[Desconto]])+Tabela5[[#This Row],[Valor de Entrega]]</f>
        <v>26.28</v>
      </c>
      <c r="M21" s="3">
        <f>IF(Tabela5[[#This Row],[ID da Venda]]=B22,"",SUMIF(Tabela5[ID da Venda],Tabela5[[#This Row],[ID da Venda]],Tabela5[Total]))</f>
        <v>123.26</v>
      </c>
    </row>
    <row r="22" spans="2:13" x14ac:dyDescent="0.3">
      <c r="B22">
        <v>5</v>
      </c>
      <c r="C22" s="24">
        <v>42187</v>
      </c>
      <c r="D22" t="s">
        <v>21</v>
      </c>
      <c r="E22" t="str">
        <f>IFERROR(VLOOKUP(Tabela5[[#This Row],[Produto]],Cálculos!$J$5:$M$33,4,FALSE),"")</f>
        <v>Unidade</v>
      </c>
      <c r="F22">
        <v>3</v>
      </c>
      <c r="G22" s="3">
        <f>IFERROR(VLOOKUP(Tabela5[[#This Row],[Produto]],Cálculos!$J$5:$M$33,3,FALSE),0)</f>
        <v>2.99</v>
      </c>
      <c r="H22" s="3">
        <f>Tabela5[[#This Row],[Quantidade]]*Tabela5[[#This Row],[Preço Unitário]]</f>
        <v>8.9700000000000006</v>
      </c>
      <c r="J22" t="s">
        <v>112</v>
      </c>
      <c r="K22" s="3">
        <f>IFERROR(IF(Tabela5[[#This Row],[ID da Venda]]=B23,0,VLOOKUP(Tabela5[[#This Row],[Entrega]],Cálculos!$B$5:$C$9,2,FALSE)),0)</f>
        <v>6.5</v>
      </c>
      <c r="L22" s="3">
        <f>Tabela5[[#This Row],[Subtotal]]*(1-Tabela5[[#This Row],[Desconto]])+Tabela5[[#This Row],[Valor de Entrega]]</f>
        <v>15.47</v>
      </c>
      <c r="M22" s="3">
        <f>IF(Tabela5[[#This Row],[ID da Venda]]=B23,"",SUMIF(Tabela5[ID da Venda],Tabela5[[#This Row],[ID da Venda]],Tabela5[Total]))</f>
        <v>15.47</v>
      </c>
    </row>
    <row r="23" spans="2:13" x14ac:dyDescent="0.3">
      <c r="B23">
        <v>4</v>
      </c>
      <c r="C23" s="24">
        <v>42187</v>
      </c>
      <c r="D23" t="s">
        <v>35</v>
      </c>
      <c r="E23" t="str">
        <f>IFERROR(VLOOKUP(Tabela5[[#This Row],[Produto]],Cálculos!$J$5:$M$33,4,FALSE),"")</f>
        <v>Pacote</v>
      </c>
      <c r="F23">
        <v>2</v>
      </c>
      <c r="G23" s="3">
        <f>IFERROR(VLOOKUP(Tabela5[[#This Row],[Produto]],Cálculos!$J$5:$M$33,3,FALSE),0)</f>
        <v>1.99</v>
      </c>
      <c r="H23" s="3">
        <f>Tabela5[[#This Row],[Quantidade]]*Tabela5[[#This Row],[Preço Unitário]]</f>
        <v>3.98</v>
      </c>
      <c r="J23" t="s">
        <v>110</v>
      </c>
      <c r="K23" s="3">
        <f>IFERROR(IF(Tabela5[[#This Row],[ID da Venda]]=B24,0,VLOOKUP(Tabela5[[#This Row],[Entrega]],Cálculos!$B$5:$C$9,2,FALSE)),0)</f>
        <v>0</v>
      </c>
      <c r="L23" s="3">
        <f>Tabela5[[#This Row],[Subtotal]]*(1-Tabela5[[#This Row],[Desconto]])+Tabela5[[#This Row],[Valor de Entrega]]</f>
        <v>3.98</v>
      </c>
      <c r="M23" s="3" t="str">
        <f>IF(Tabela5[[#This Row],[ID da Venda]]=B24,"",SUMIF(Tabela5[ID da Venda],Tabela5[[#This Row],[ID da Venda]],Tabela5[Total]))</f>
        <v/>
      </c>
    </row>
    <row r="24" spans="2:13" x14ac:dyDescent="0.3">
      <c r="B24">
        <v>4</v>
      </c>
      <c r="C24" s="24">
        <v>42187</v>
      </c>
      <c r="D24" t="s">
        <v>18</v>
      </c>
      <c r="E24" t="str">
        <f>IFERROR(VLOOKUP(Tabela5[[#This Row],[Produto]],Cálculos!$J$5:$M$33,4,FALSE),"")</f>
        <v>Kg</v>
      </c>
      <c r="F24">
        <v>5</v>
      </c>
      <c r="G24" s="3">
        <f>IFERROR(VLOOKUP(Tabela5[[#This Row],[Produto]],Cálculos!$J$5:$M$33,3,FALSE),0)</f>
        <v>2.4900000000000002</v>
      </c>
      <c r="H24" s="3">
        <f>Tabela5[[#This Row],[Quantidade]]*Tabela5[[#This Row],[Preço Unitário]]</f>
        <v>12.450000000000001</v>
      </c>
      <c r="J24" t="s">
        <v>110</v>
      </c>
      <c r="K24" s="3">
        <f>IFERROR(IF(Tabela5[[#This Row],[ID da Venda]]=B25,0,VLOOKUP(Tabela5[[#This Row],[Entrega]],Cálculos!$B$5:$C$9,2,FALSE)),0)</f>
        <v>6.5</v>
      </c>
      <c r="L24" s="3">
        <f>Tabela5[[#This Row],[Subtotal]]*(1-Tabela5[[#This Row],[Desconto]])+Tabela5[[#This Row],[Valor de Entrega]]</f>
        <v>18.950000000000003</v>
      </c>
      <c r="M24" s="3">
        <f>IF(Tabela5[[#This Row],[ID da Venda]]=B25,"",SUMIF(Tabela5[ID da Venda],Tabela5[[#This Row],[ID da Venda]],Tabela5[Total]))</f>
        <v>22.930000000000003</v>
      </c>
    </row>
    <row r="25" spans="2:13" x14ac:dyDescent="0.3">
      <c r="B25">
        <v>3</v>
      </c>
      <c r="C25" s="24">
        <v>42187</v>
      </c>
      <c r="D25" t="s">
        <v>67</v>
      </c>
      <c r="E25" t="str">
        <f>IFERROR(VLOOKUP(Tabela5[[#This Row],[Produto]],Cálculos!$J$5:$M$33,4,FALSE),"")</f>
        <v>Litro</v>
      </c>
      <c r="F25">
        <v>6</v>
      </c>
      <c r="G25" s="3">
        <f>IFERROR(VLOOKUP(Tabela5[[#This Row],[Produto]],Cálculos!$J$5:$M$33,3,FALSE),0)</f>
        <v>1.49</v>
      </c>
      <c r="H25" s="3">
        <f>Tabela5[[#This Row],[Quantidade]]*Tabela5[[#This Row],[Preço Unitário]]</f>
        <v>8.94</v>
      </c>
      <c r="J25" t="s">
        <v>111</v>
      </c>
      <c r="K25" s="3">
        <f>IFERROR(IF(Tabela5[[#This Row],[ID da Venda]]=B26,0,VLOOKUP(Tabela5[[#This Row],[Entrega]],Cálculos!$B$5:$C$9,2,FALSE)),0)</f>
        <v>8</v>
      </c>
      <c r="L25" s="3">
        <f>Tabela5[[#This Row],[Subtotal]]*(1-Tabela5[[#This Row],[Desconto]])+Tabela5[[#This Row],[Valor de Entrega]]</f>
        <v>16.939999999999998</v>
      </c>
      <c r="M25" s="3">
        <f>IF(Tabela5[[#This Row],[ID da Venda]]=B26,"",SUMIF(Tabela5[ID da Venda],Tabela5[[#This Row],[ID da Venda]],Tabela5[Total]))</f>
        <v>16.939999999999998</v>
      </c>
    </row>
    <row r="26" spans="2:13" x14ac:dyDescent="0.3">
      <c r="B26">
        <v>2</v>
      </c>
      <c r="C26" s="24">
        <v>42187</v>
      </c>
      <c r="D26" t="s">
        <v>35</v>
      </c>
      <c r="E26" t="str">
        <f>IFERROR(VLOOKUP(Tabela5[[#This Row],[Produto]],Cálculos!$J$5:$M$33,4,FALSE),"")</f>
        <v>Pacote</v>
      </c>
      <c r="F26">
        <v>1</v>
      </c>
      <c r="G26" s="3">
        <f>IFERROR(VLOOKUP(Tabela5[[#This Row],[Produto]],Cálculos!$J$5:$M$33,3,FALSE),0)</f>
        <v>1.99</v>
      </c>
      <c r="H26" s="3">
        <f>Tabela5[[#This Row],[Quantidade]]*Tabela5[[#This Row],[Preço Unitário]]</f>
        <v>1.99</v>
      </c>
      <c r="J26" t="s">
        <v>110</v>
      </c>
      <c r="K26" s="3">
        <f>IFERROR(IF(Tabela5[[#This Row],[ID da Venda]]=B27,0,VLOOKUP(Tabela5[[#This Row],[Entrega]],Cálculos!$B$5:$C$9,2,FALSE)),0)</f>
        <v>6.5</v>
      </c>
      <c r="L26" s="3">
        <f>Tabela5[[#This Row],[Subtotal]]*(1-Tabela5[[#This Row],[Desconto]])+Tabela5[[#This Row],[Valor de Entrega]]</f>
        <v>8.49</v>
      </c>
      <c r="M26" s="3">
        <f>IF(Tabela5[[#This Row],[ID da Venda]]=B27,"",SUMIF(Tabela5[ID da Venda],Tabela5[[#This Row],[ID da Venda]],Tabela5[Total]))</f>
        <v>8.49</v>
      </c>
    </row>
    <row r="27" spans="2:13" x14ac:dyDescent="0.3">
      <c r="B27">
        <v>1</v>
      </c>
      <c r="C27" s="24">
        <v>42187</v>
      </c>
      <c r="D27" t="s">
        <v>18</v>
      </c>
      <c r="E27" t="str">
        <f>IFERROR(VLOOKUP(Tabela5[[#This Row],[Produto]],Cálculos!$J$5:$M$33,4,FALSE),"")</f>
        <v>Kg</v>
      </c>
      <c r="F27">
        <v>2</v>
      </c>
      <c r="G27" s="3">
        <f>IFERROR(VLOOKUP(Tabela5[[#This Row],[Produto]],Cálculos!$J$5:$M$33,3,FALSE),0)</f>
        <v>2.4900000000000002</v>
      </c>
      <c r="H27" s="3">
        <f>Tabela5[[#This Row],[Quantidade]]*Tabela5[[#This Row],[Preço Unitário]]</f>
        <v>4.9800000000000004</v>
      </c>
      <c r="J27" t="s">
        <v>109</v>
      </c>
      <c r="K27" s="3">
        <f>IFERROR(IF(Tabela5[[#This Row],[ID da Venda]]=B28,0,VLOOKUP(Tabela5[[#This Row],[Entrega]],Cálculos!$B$5:$C$9,2,FALSE)),0)</f>
        <v>0</v>
      </c>
      <c r="L27" s="3">
        <f>Tabela5[[#This Row],[Subtotal]]*(1-Tabela5[[#This Row],[Desconto]])+Tabela5[[#This Row],[Valor de Entrega]]</f>
        <v>4.9800000000000004</v>
      </c>
      <c r="M27" s="3" t="str">
        <f>IF(Tabela5[[#This Row],[ID da Venda]]=B28,"",SUMIF(Tabela5[ID da Venda],Tabela5[[#This Row],[ID da Venda]],Tabela5[Total]))</f>
        <v/>
      </c>
    </row>
    <row r="28" spans="2:13" x14ac:dyDescent="0.3">
      <c r="B28">
        <v>1</v>
      </c>
      <c r="C28" s="24">
        <v>42187</v>
      </c>
      <c r="D28" t="s">
        <v>30</v>
      </c>
      <c r="E28" t="str">
        <f>IFERROR(VLOOKUP(Tabela5[[#This Row],[Produto]],Cálculos!$J$5:$M$33,4,FALSE),"")</f>
        <v>Pacote</v>
      </c>
      <c r="F28">
        <v>3</v>
      </c>
      <c r="G28" s="3">
        <f>IFERROR(VLOOKUP(Tabela5[[#This Row],[Produto]],Cálculos!$J$5:$M$33,3,FALSE),0)</f>
        <v>1.1499999999999999</v>
      </c>
      <c r="H28" s="3">
        <f>Tabela5[[#This Row],[Quantidade]]*Tabela5[[#This Row],[Preço Unitário]]</f>
        <v>3.4499999999999997</v>
      </c>
      <c r="J28" t="s">
        <v>109</v>
      </c>
      <c r="K28" s="3">
        <f>IFERROR(IF(Tabela5[[#This Row],[ID da Venda]]=B29,0,VLOOKUP(Tabela5[[#This Row],[Entrega]],Cálculos!$B$5:$C$9,2,FALSE)),0)</f>
        <v>0</v>
      </c>
      <c r="L28" s="3">
        <f>Tabela5[[#This Row],[Subtotal]]*(1-Tabela5[[#This Row],[Desconto]])+Tabela5[[#This Row],[Valor de Entrega]]</f>
        <v>3.4499999999999997</v>
      </c>
      <c r="M28" s="3" t="str">
        <f>IF(Tabela5[[#This Row],[ID da Venda]]=B29,"",SUMIF(Tabela5[ID da Venda],Tabela5[[#This Row],[ID da Venda]],Tabela5[Total]))</f>
        <v/>
      </c>
    </row>
    <row r="29" spans="2:13" x14ac:dyDescent="0.3">
      <c r="B29">
        <v>1</v>
      </c>
      <c r="C29" s="24">
        <v>42187</v>
      </c>
      <c r="D29" t="s">
        <v>35</v>
      </c>
      <c r="E29" t="str">
        <f>IFERROR(VLOOKUP(Tabela5[[#This Row],[Produto]],Cálculos!$J$5:$M$33,4,FALSE),"")</f>
        <v>Pacote</v>
      </c>
      <c r="F29">
        <v>1</v>
      </c>
      <c r="G29" s="3">
        <f>IFERROR(VLOOKUP(Tabela5[[#This Row],[Produto]],Cálculos!$J$5:$M$33,3,FALSE),0)</f>
        <v>1.99</v>
      </c>
      <c r="H29" s="3">
        <f>Tabela5[[#This Row],[Quantidade]]*Tabela5[[#This Row],[Preço Unitário]]</f>
        <v>1.99</v>
      </c>
      <c r="J29" t="s">
        <v>109</v>
      </c>
      <c r="K29" s="3">
        <f>IFERROR(IF(Tabela5[[#This Row],[ID da Venda]]=B30,0,VLOOKUP(Tabela5[[#This Row],[Entrega]],Cálculos!$B$5:$C$9,2,FALSE)),0)</f>
        <v>0</v>
      </c>
      <c r="L29" s="3">
        <f>Tabela5[[#This Row],[Subtotal]]*(1-Tabela5[[#This Row],[Desconto]])+Tabela5[[#This Row],[Valor de Entrega]]</f>
        <v>1.99</v>
      </c>
      <c r="M29" s="3">
        <f>IF(Tabela5[[#This Row],[ID da Venda]]=B30,"",SUMIF(Tabela5[ID da Venda],Tabela5[[#This Row],[ID da Venda]],Tabela5[Total]))</f>
        <v>10.42</v>
      </c>
    </row>
    <row r="31" spans="2:13" ht="21" x14ac:dyDescent="0.4">
      <c r="B31" s="20" t="s">
        <v>114</v>
      </c>
      <c r="C31" s="20"/>
      <c r="D31" s="20"/>
      <c r="E31" s="21"/>
      <c r="F31" s="21"/>
      <c r="G31" s="21"/>
      <c r="H31" s="21"/>
      <c r="I31" s="21"/>
      <c r="J31" s="21"/>
      <c r="K31" s="21"/>
      <c r="L31" s="21"/>
      <c r="M31" s="21">
        <f>SUM(Tabela5[Total])</f>
        <v>659.37000000000012</v>
      </c>
    </row>
    <row r="32" spans="2:13" ht="21" x14ac:dyDescent="0.4">
      <c r="B32" s="22" t="s">
        <v>115</v>
      </c>
      <c r="C32" s="22"/>
      <c r="D32" s="22"/>
      <c r="E32" s="23"/>
      <c r="F32" s="23"/>
      <c r="G32" s="23"/>
      <c r="H32" s="23"/>
      <c r="I32" s="23"/>
      <c r="J32" s="23"/>
      <c r="K32" s="23"/>
      <c r="L32" s="23"/>
      <c r="M32" s="23">
        <f>SUM(Tabela5[Valor de Entrega])</f>
        <v>40.5</v>
      </c>
    </row>
    <row r="33" spans="2:13" ht="21" x14ac:dyDescent="0.4">
      <c r="B33" s="22" t="s">
        <v>131</v>
      </c>
      <c r="C33" s="22"/>
      <c r="D33" s="22"/>
      <c r="E33" s="23"/>
      <c r="F33" s="23"/>
      <c r="G33" s="23"/>
      <c r="H33" s="23"/>
      <c r="I33" s="23"/>
      <c r="J33" s="23"/>
      <c r="K33" s="23"/>
      <c r="L33" s="23"/>
      <c r="M33" s="22">
        <f>SUM(IF(FREQUENCY(Tabela5[ID da Venda],Tabela5[ID da Venda])&gt;0,1,0))</f>
        <v>13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8155D-22F3-4C28-B3BE-23B59DF9BE5C}">
  <dimension ref="A3:I26"/>
  <sheetViews>
    <sheetView showGridLines="0" workbookViewId="0"/>
  </sheetViews>
  <sheetFormatPr defaultRowHeight="14.4" x14ac:dyDescent="0.3"/>
  <cols>
    <col min="1" max="1" width="18.77734375" bestFit="1" customWidth="1"/>
    <col min="2" max="2" width="18.88671875" bestFit="1" customWidth="1"/>
    <col min="3" max="3" width="13.109375" bestFit="1" customWidth="1"/>
    <col min="6" max="6" width="17.21875" bestFit="1" customWidth="1"/>
    <col min="7" max="7" width="18.88671875" bestFit="1" customWidth="1"/>
    <col min="8" max="8" width="23" bestFit="1" customWidth="1"/>
    <col min="9" max="9" width="13.109375" bestFit="1" customWidth="1"/>
  </cols>
  <sheetData>
    <row r="3" spans="1:9" x14ac:dyDescent="0.3">
      <c r="A3" s="59" t="s">
        <v>148</v>
      </c>
      <c r="B3" t="s">
        <v>152</v>
      </c>
      <c r="C3" t="s">
        <v>150</v>
      </c>
      <c r="F3" s="59" t="s">
        <v>148</v>
      </c>
      <c r="G3" t="s">
        <v>152</v>
      </c>
      <c r="H3" t="s">
        <v>151</v>
      </c>
      <c r="I3" t="s">
        <v>150</v>
      </c>
    </row>
    <row r="4" spans="1:9" x14ac:dyDescent="0.3">
      <c r="A4" s="60">
        <v>42187</v>
      </c>
      <c r="B4">
        <v>23</v>
      </c>
      <c r="C4" s="3">
        <v>74.25</v>
      </c>
      <c r="F4" s="62" t="s">
        <v>109</v>
      </c>
      <c r="G4">
        <v>79.5</v>
      </c>
      <c r="H4" s="3">
        <v>0</v>
      </c>
      <c r="I4" s="3">
        <v>326.39000000000004</v>
      </c>
    </row>
    <row r="5" spans="1:9" x14ac:dyDescent="0.3">
      <c r="A5" s="61" t="s">
        <v>21</v>
      </c>
      <c r="B5">
        <v>3</v>
      </c>
      <c r="C5" s="3">
        <v>15.47</v>
      </c>
      <c r="F5" s="62" t="s">
        <v>110</v>
      </c>
      <c r="G5">
        <v>8</v>
      </c>
      <c r="H5" s="3">
        <v>13</v>
      </c>
      <c r="I5" s="3">
        <v>31.42</v>
      </c>
    </row>
    <row r="6" spans="1:9" x14ac:dyDescent="0.3">
      <c r="A6" s="61" t="s">
        <v>30</v>
      </c>
      <c r="B6">
        <v>3</v>
      </c>
      <c r="C6" s="3">
        <v>3.4499999999999997</v>
      </c>
      <c r="F6" s="62" t="s">
        <v>111</v>
      </c>
      <c r="G6">
        <v>6</v>
      </c>
      <c r="H6" s="3">
        <v>8</v>
      </c>
      <c r="I6" s="3">
        <v>16.939999999999998</v>
      </c>
    </row>
    <row r="7" spans="1:9" x14ac:dyDescent="0.3">
      <c r="A7" s="61" t="s">
        <v>18</v>
      </c>
      <c r="B7">
        <v>7</v>
      </c>
      <c r="C7" s="3">
        <v>23.930000000000003</v>
      </c>
      <c r="F7" s="62" t="s">
        <v>112</v>
      </c>
      <c r="G7">
        <v>58</v>
      </c>
      <c r="H7" s="3">
        <v>19.5</v>
      </c>
      <c r="I7" s="3">
        <v>284.62</v>
      </c>
    </row>
    <row r="8" spans="1:9" x14ac:dyDescent="0.3">
      <c r="A8" s="61" t="s">
        <v>35</v>
      </c>
      <c r="B8">
        <v>4</v>
      </c>
      <c r="C8" s="3">
        <v>14.46</v>
      </c>
      <c r="F8" s="62" t="s">
        <v>149</v>
      </c>
      <c r="G8">
        <v>151.5</v>
      </c>
      <c r="H8" s="3">
        <v>40.5</v>
      </c>
      <c r="I8" s="3">
        <v>659.37000000000012</v>
      </c>
    </row>
    <row r="9" spans="1:9" x14ac:dyDescent="0.3">
      <c r="A9" s="61" t="s">
        <v>67</v>
      </c>
      <c r="B9">
        <v>6</v>
      </c>
      <c r="C9" s="3">
        <v>16.939999999999998</v>
      </c>
    </row>
    <row r="10" spans="1:9" x14ac:dyDescent="0.3">
      <c r="A10" s="60">
        <v>42188</v>
      </c>
      <c r="B10">
        <v>72.5</v>
      </c>
      <c r="C10" s="3">
        <v>306.94</v>
      </c>
    </row>
    <row r="11" spans="1:9" x14ac:dyDescent="0.3">
      <c r="A11" s="61" t="s">
        <v>34</v>
      </c>
      <c r="B11">
        <v>2</v>
      </c>
      <c r="C11" s="3">
        <v>1.58</v>
      </c>
    </row>
    <row r="12" spans="1:9" x14ac:dyDescent="0.3">
      <c r="A12" s="61" t="s">
        <v>22</v>
      </c>
      <c r="B12">
        <v>6</v>
      </c>
      <c r="C12" s="3">
        <v>95.4</v>
      </c>
    </row>
    <row r="13" spans="1:9" x14ac:dyDescent="0.3">
      <c r="A13" s="61" t="s">
        <v>31</v>
      </c>
      <c r="B13">
        <v>52</v>
      </c>
      <c r="C13" s="3">
        <v>120.38</v>
      </c>
    </row>
    <row r="14" spans="1:9" x14ac:dyDescent="0.3">
      <c r="A14" s="61" t="s">
        <v>19</v>
      </c>
      <c r="B14">
        <v>4</v>
      </c>
      <c r="C14" s="3">
        <v>17.12</v>
      </c>
    </row>
    <row r="15" spans="1:9" x14ac:dyDescent="0.3">
      <c r="A15" s="61" t="s">
        <v>72</v>
      </c>
      <c r="B15">
        <v>5</v>
      </c>
      <c r="C15" s="3">
        <v>14.450000000000001</v>
      </c>
    </row>
    <row r="16" spans="1:9" x14ac:dyDescent="0.3">
      <c r="A16" s="61" t="s">
        <v>25</v>
      </c>
      <c r="B16">
        <v>1.5</v>
      </c>
      <c r="C16" s="3">
        <v>38.849999999999994</v>
      </c>
    </row>
    <row r="17" spans="1:3" x14ac:dyDescent="0.3">
      <c r="A17" s="61" t="s">
        <v>29</v>
      </c>
      <c r="B17">
        <v>2</v>
      </c>
      <c r="C17" s="3">
        <v>19.16</v>
      </c>
    </row>
    <row r="18" spans="1:3" x14ac:dyDescent="0.3">
      <c r="A18" s="60">
        <v>42189</v>
      </c>
      <c r="B18">
        <v>21</v>
      </c>
      <c r="C18" s="3">
        <v>59.33</v>
      </c>
    </row>
    <row r="19" spans="1:3" x14ac:dyDescent="0.3">
      <c r="A19" s="61" t="s">
        <v>31</v>
      </c>
      <c r="B19">
        <v>11</v>
      </c>
      <c r="C19" s="3">
        <v>24.09</v>
      </c>
    </row>
    <row r="20" spans="1:3" x14ac:dyDescent="0.3">
      <c r="A20" s="61" t="s">
        <v>19</v>
      </c>
      <c r="B20">
        <v>6</v>
      </c>
      <c r="C20" s="3">
        <v>25.68</v>
      </c>
    </row>
    <row r="21" spans="1:3" x14ac:dyDescent="0.3">
      <c r="A21" s="61" t="s">
        <v>73</v>
      </c>
      <c r="B21">
        <v>4</v>
      </c>
      <c r="C21" s="3">
        <v>9.56</v>
      </c>
    </row>
    <row r="22" spans="1:3" x14ac:dyDescent="0.3">
      <c r="A22" s="60">
        <v>42190</v>
      </c>
      <c r="B22">
        <v>35</v>
      </c>
      <c r="C22" s="3">
        <v>218.85</v>
      </c>
    </row>
    <row r="23" spans="1:3" x14ac:dyDescent="0.3">
      <c r="A23" s="61" t="s">
        <v>34</v>
      </c>
      <c r="B23">
        <v>1</v>
      </c>
      <c r="C23" s="3">
        <v>0.79</v>
      </c>
    </row>
    <row r="24" spans="1:3" x14ac:dyDescent="0.3">
      <c r="A24" s="61" t="s">
        <v>22</v>
      </c>
      <c r="B24">
        <v>10</v>
      </c>
      <c r="C24" s="3">
        <v>159</v>
      </c>
    </row>
    <row r="25" spans="1:3" x14ac:dyDescent="0.3">
      <c r="A25" s="61" t="s">
        <v>31</v>
      </c>
      <c r="B25">
        <v>24</v>
      </c>
      <c r="C25" s="3">
        <v>59.06</v>
      </c>
    </row>
    <row r="26" spans="1:3" x14ac:dyDescent="0.3">
      <c r="A26" s="60" t="s">
        <v>149</v>
      </c>
      <c r="B26">
        <v>151.5</v>
      </c>
      <c r="C26" s="3">
        <v>659.36999999999989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46ADF-17FC-49F7-8B1D-5888115D15EB}">
  <dimension ref="B2:M19"/>
  <sheetViews>
    <sheetView showGridLines="0" workbookViewId="0">
      <selection activeCell="K3" sqref="K3"/>
    </sheetView>
  </sheetViews>
  <sheetFormatPr defaultRowHeight="14.4" x14ac:dyDescent="0.3"/>
  <cols>
    <col min="1" max="1" width="24.44140625" customWidth="1"/>
    <col min="2" max="2" width="26.109375" bestFit="1" customWidth="1"/>
    <col min="3" max="3" width="12.88671875" customWidth="1"/>
    <col min="4" max="4" width="12.33203125" customWidth="1"/>
    <col min="5" max="5" width="10.33203125" customWidth="1"/>
    <col min="6" max="6" width="14.77734375" customWidth="1"/>
    <col min="7" max="7" width="17.109375" customWidth="1"/>
    <col min="8" max="8" width="10.5546875" customWidth="1"/>
    <col min="9" max="9" width="11" customWidth="1"/>
    <col min="10" max="10" width="11.33203125" customWidth="1"/>
    <col min="11" max="12" width="17.33203125" customWidth="1"/>
    <col min="13" max="13" width="19.6640625" customWidth="1"/>
  </cols>
  <sheetData>
    <row r="2" spans="2:13" s="18" customFormat="1" ht="28.05" customHeight="1" x14ac:dyDescent="0.3">
      <c r="B2" s="17" t="s">
        <v>116</v>
      </c>
    </row>
    <row r="3" spans="2:13" ht="34.200000000000003" customHeight="1" x14ac:dyDescent="0.3"/>
    <row r="5" spans="2:13" x14ac:dyDescent="0.3">
      <c r="B5" t="s">
        <v>101</v>
      </c>
      <c r="C5" t="s">
        <v>42</v>
      </c>
      <c r="D5" t="s">
        <v>93</v>
      </c>
      <c r="E5" t="s">
        <v>56</v>
      </c>
      <c r="F5" t="s">
        <v>57</v>
      </c>
      <c r="G5" t="s">
        <v>58</v>
      </c>
      <c r="H5" t="s">
        <v>102</v>
      </c>
      <c r="I5" t="s">
        <v>59</v>
      </c>
      <c r="J5" t="s">
        <v>103</v>
      </c>
      <c r="K5" t="s">
        <v>104</v>
      </c>
      <c r="L5" t="s">
        <v>113</v>
      </c>
      <c r="M5" t="s">
        <v>105</v>
      </c>
    </row>
    <row r="6" spans="2:13" x14ac:dyDescent="0.3">
      <c r="B6">
        <v>100</v>
      </c>
      <c r="C6" s="7">
        <v>42139</v>
      </c>
      <c r="D6" t="s">
        <v>32</v>
      </c>
      <c r="E6" t="s">
        <v>74</v>
      </c>
      <c r="F6">
        <v>1</v>
      </c>
      <c r="G6" s="3">
        <f>IFERROR(VLOOKUP(Tabela57[[#This Row],[Produto]],Cálculos!$J$5:$M$33,3,FALSE),0)</f>
        <v>54.9</v>
      </c>
      <c r="H6" s="3">
        <f>Tabela57[[#This Row],[Quantidade]]*Tabela57[[#This Row],[Preço Unitário]]</f>
        <v>54.9</v>
      </c>
      <c r="J6" t="s">
        <v>111</v>
      </c>
      <c r="K6" s="3">
        <f>IFERROR(VLOOKUP(Tabela57[[#This Row],[Entrega]],Cálculos!$B$5:$C$9,2,FALSE),0)</f>
        <v>8</v>
      </c>
      <c r="L6" s="3">
        <f>Tabela57[[#This Row],[Subtotal]]*(1-Tabela57[[#This Row],[Desconto]])+Tabela57[[#This Row],[Valor de Entrega]]</f>
        <v>62.9</v>
      </c>
      <c r="M6" s="3">
        <f>IF(Tabela57[[#This Row],[ID da Venda]]=B7,"",SUMIF(Tabela57[ID da Venda],Tabela57[[#This Row],[ID da Venda]],Tabela57[Total]))</f>
        <v>62.9</v>
      </c>
    </row>
    <row r="7" spans="2:13" x14ac:dyDescent="0.3">
      <c r="C7" s="7"/>
      <c r="G7" s="3">
        <f>IFERROR(VLOOKUP(Tabela57[[#This Row],[Produto]],Cálculos!$J$5:$M$33,3,FALSE),0)</f>
        <v>0</v>
      </c>
      <c r="H7" s="3">
        <f>Tabela57[[#This Row],[Quantidade]]*Tabela57[[#This Row],[Preço Unitário]]</f>
        <v>0</v>
      </c>
      <c r="I7" s="6"/>
      <c r="K7" s="3">
        <f>IFERROR(VLOOKUP(Tabela57[[#This Row],[Entrega]],Cálculos!$B$5:$C$9,2,FALSE),0)</f>
        <v>0</v>
      </c>
      <c r="L7" s="3">
        <f>Tabela57[[#This Row],[Subtotal]]*(1-Tabela57[[#This Row],[Desconto]])+Tabela57[[#This Row],[Valor de Entrega]]</f>
        <v>0</v>
      </c>
      <c r="M7" s="3" t="str">
        <f>IF(Tabela57[[#This Row],[ID da Venda]]=B8,"",SUMIF(Tabela57[ID da Venda],Tabela57[[#This Row],[ID da Venda]],Tabela57[Total]))</f>
        <v/>
      </c>
    </row>
    <row r="8" spans="2:13" x14ac:dyDescent="0.3">
      <c r="C8" s="7"/>
      <c r="G8" s="3">
        <f>IFERROR(VLOOKUP(Tabela57[[#This Row],[Produto]],Cálculos!$J$5:$M$33,3,FALSE),0)</f>
        <v>0</v>
      </c>
      <c r="H8" s="3">
        <f>Tabela57[[#This Row],[Quantidade]]*Tabela57[[#This Row],[Preço Unitário]]</f>
        <v>0</v>
      </c>
      <c r="I8" s="6"/>
      <c r="K8" s="3">
        <f>IFERROR(VLOOKUP(Tabela57[[#This Row],[Entrega]],Cálculos!$B$5:$C$9,2,FALSE),0)</f>
        <v>0</v>
      </c>
      <c r="L8" s="3">
        <f>Tabela57[[#This Row],[Subtotal]]*(1-Tabela57[[#This Row],[Desconto]])+Tabela57[[#This Row],[Valor de Entrega]]</f>
        <v>0</v>
      </c>
      <c r="M8" s="3" t="str">
        <f>IF(Tabela57[[#This Row],[ID da Venda]]=B9,"",SUMIF(Tabela57[ID da Venda],Tabela57[[#This Row],[ID da Venda]],Tabela57[Total]))</f>
        <v/>
      </c>
    </row>
    <row r="9" spans="2:13" x14ac:dyDescent="0.3">
      <c r="C9" s="7"/>
      <c r="E9" t="str">
        <f>IFERROR(VLOOKUP(Tabela57[[#This Row],[Produto]],Cálculos!$J$5:$M$33,4,FALSE),"")</f>
        <v/>
      </c>
      <c r="G9" s="3">
        <f>IFERROR(VLOOKUP(Tabela57[[#This Row],[Produto]],Cálculos!$J$5:$M$33,3,FALSE),0)</f>
        <v>0</v>
      </c>
      <c r="H9" s="3">
        <f>Tabela57[[#This Row],[Quantidade]]*Tabela57[[#This Row],[Preço Unitário]]</f>
        <v>0</v>
      </c>
      <c r="I9" s="6"/>
      <c r="K9" s="3">
        <f>IFERROR(VLOOKUP(Tabela57[[#This Row],[Entrega]],Cálculos!$B$5:$C$9,2,FALSE),0)</f>
        <v>0</v>
      </c>
      <c r="L9" s="3">
        <f>Tabela57[[#This Row],[Subtotal]]*(1-Tabela57[[#This Row],[Desconto]])+Tabela57[[#This Row],[Valor de Entrega]]</f>
        <v>0</v>
      </c>
      <c r="M9" s="3" t="str">
        <f>IF(Tabela57[[#This Row],[ID da Venda]]=B10,"",SUMIF(Tabela57[ID da Venda],Tabela57[[#This Row],[ID da Venda]],Tabela57[Total]))</f>
        <v/>
      </c>
    </row>
    <row r="10" spans="2:13" x14ac:dyDescent="0.3">
      <c r="C10" s="7"/>
      <c r="E10" t="str">
        <f>IFERROR(VLOOKUP(Tabela57[[#This Row],[Produto]],Cálculos!$J$5:$M$33,4,FALSE),"")</f>
        <v/>
      </c>
      <c r="G10" s="3">
        <f>IFERROR(VLOOKUP(Tabela57[[#This Row],[Produto]],Cálculos!$J$5:$M$33,3,FALSE),0)</f>
        <v>0</v>
      </c>
      <c r="H10" s="3">
        <f>Tabela57[[#This Row],[Quantidade]]*Tabela57[[#This Row],[Preço Unitário]]</f>
        <v>0</v>
      </c>
      <c r="I10" s="6"/>
      <c r="K10" s="3">
        <f>IFERROR(VLOOKUP(Tabela57[[#This Row],[Entrega]],Cálculos!$B$5:$C$9,2,FALSE),0)</f>
        <v>0</v>
      </c>
      <c r="L10" s="3">
        <f>Tabela57[[#This Row],[Subtotal]]*(1-Tabela57[[#This Row],[Desconto]])+Tabela57[[#This Row],[Valor de Entrega]]</f>
        <v>0</v>
      </c>
      <c r="M10" s="3" t="str">
        <f>IF(Tabela57[[#This Row],[ID da Venda]]=B11,"",SUMIF(Tabela57[ID da Venda],Tabela57[[#This Row],[ID da Venda]],Tabela57[Total]))</f>
        <v/>
      </c>
    </row>
    <row r="11" spans="2:13" x14ac:dyDescent="0.3">
      <c r="C11" s="7"/>
      <c r="E11" t="str">
        <f>IFERROR(VLOOKUP(Tabela57[[#This Row],[Produto]],Cálculos!$J$5:$M$33,4,FALSE),"")</f>
        <v/>
      </c>
      <c r="G11" s="3">
        <f>IFERROR(VLOOKUP(Tabela57[[#This Row],[Produto]],Cálculos!$J$5:$M$33,3,FALSE),0)</f>
        <v>0</v>
      </c>
      <c r="H11" s="3">
        <f>Tabela57[[#This Row],[Quantidade]]*Tabela57[[#This Row],[Preço Unitário]]</f>
        <v>0</v>
      </c>
      <c r="I11" s="6"/>
      <c r="K11" s="3">
        <f>IFERROR(VLOOKUP(Tabela57[[#This Row],[Entrega]],Cálculos!$B$5:$C$9,2,FALSE),0)</f>
        <v>0</v>
      </c>
      <c r="L11" s="3">
        <f>Tabela57[[#This Row],[Subtotal]]*(1-Tabela57[[#This Row],[Desconto]])+Tabela57[[#This Row],[Valor de Entrega]]</f>
        <v>0</v>
      </c>
      <c r="M11" s="3" t="str">
        <f>IF(Tabela57[[#This Row],[ID da Venda]]=B12,"",SUMIF(Tabela57[ID da Venda],Tabela57[[#This Row],[ID da Venda]],Tabela57[Total]))</f>
        <v/>
      </c>
    </row>
    <row r="12" spans="2:13" x14ac:dyDescent="0.3">
      <c r="C12" s="7"/>
      <c r="E12" t="str">
        <f>IFERROR(VLOOKUP(Tabela57[[#This Row],[Produto]],Cálculos!$J$5:$M$33,4,FALSE),"")</f>
        <v/>
      </c>
      <c r="G12" s="3">
        <f>IFERROR(VLOOKUP(Tabela57[[#This Row],[Produto]],Cálculos!$J$5:$M$33,3,FALSE),0)</f>
        <v>0</v>
      </c>
      <c r="H12" s="3">
        <f>Tabela57[[#This Row],[Quantidade]]*Tabela57[[#This Row],[Preço Unitário]]</f>
        <v>0</v>
      </c>
      <c r="I12" s="6"/>
      <c r="K12" s="3">
        <f>IFERROR(VLOOKUP(Tabela57[[#This Row],[Entrega]],Cálculos!$B$5:$C$9,2,FALSE),0)</f>
        <v>0</v>
      </c>
      <c r="L12" s="3">
        <f>Tabela57[[#This Row],[Subtotal]]*(1-Tabela57[[#This Row],[Desconto]])+Tabela57[[#This Row],[Valor de Entrega]]</f>
        <v>0</v>
      </c>
      <c r="M12" s="3" t="str">
        <f>IF(Tabela57[[#This Row],[ID da Venda]]=B13,"",SUMIF(Tabela57[ID da Venda],Tabela57[[#This Row],[ID da Venda]],Tabela57[Total]))</f>
        <v/>
      </c>
    </row>
    <row r="13" spans="2:13" x14ac:dyDescent="0.3">
      <c r="C13" s="7"/>
      <c r="E13" t="str">
        <f>IFERROR(VLOOKUP(Tabela57[[#This Row],[Produto]],Cálculos!$J$5:$M$33,4,FALSE),"")</f>
        <v/>
      </c>
      <c r="G13" s="3">
        <f>IFERROR(VLOOKUP(Tabela57[[#This Row],[Produto]],Cálculos!$J$5:$M$33,3,FALSE),0)</f>
        <v>0</v>
      </c>
      <c r="H13" s="3">
        <f>Tabela57[[#This Row],[Quantidade]]*Tabela57[[#This Row],[Preço Unitário]]</f>
        <v>0</v>
      </c>
      <c r="I13" s="6"/>
      <c r="K13" s="3">
        <f>IFERROR(VLOOKUP(Tabela57[[#This Row],[Entrega]],Cálculos!$B$5:$C$9,2,FALSE),0)</f>
        <v>0</v>
      </c>
      <c r="L13" s="3">
        <f>Tabela57[[#This Row],[Subtotal]]*(1-Tabela57[[#This Row],[Desconto]])+Tabela57[[#This Row],[Valor de Entrega]]</f>
        <v>0</v>
      </c>
      <c r="M13" s="3" t="str">
        <f>IF(Tabela57[[#This Row],[ID da Venda]]=B14,"",SUMIF(Tabela57[ID da Venda],Tabela57[[#This Row],[ID da Venda]],Tabela57[Total]))</f>
        <v/>
      </c>
    </row>
    <row r="14" spans="2:13" x14ac:dyDescent="0.3">
      <c r="C14" s="7"/>
      <c r="E14" t="str">
        <f>IFERROR(VLOOKUP(Tabela57[[#This Row],[Produto]],Cálculos!$J$5:$M$33,4,FALSE),"")</f>
        <v/>
      </c>
      <c r="G14" s="3">
        <f>IFERROR(VLOOKUP(Tabela57[[#This Row],[Produto]],Cálculos!$J$5:$M$33,3,FALSE),0)</f>
        <v>0</v>
      </c>
      <c r="H14" s="3">
        <f>Tabela57[[#This Row],[Quantidade]]*Tabela57[[#This Row],[Preço Unitário]]</f>
        <v>0</v>
      </c>
      <c r="I14" s="6"/>
      <c r="K14" s="3">
        <f>IFERROR(VLOOKUP(Tabela57[[#This Row],[Entrega]],Cálculos!$B$5:$C$9,2,FALSE),0)</f>
        <v>0</v>
      </c>
      <c r="L14" s="3">
        <f>Tabela57[[#This Row],[Subtotal]]*(1-Tabela57[[#This Row],[Desconto]])+Tabela57[[#This Row],[Valor de Entrega]]</f>
        <v>0</v>
      </c>
      <c r="M14" s="3" t="str">
        <f>IF(Tabela57[[#This Row],[ID da Venda]]=B15,"",SUMIF(Tabela57[ID da Venda],Tabela57[[#This Row],[ID da Venda]],Tabela57[Total]))</f>
        <v/>
      </c>
    </row>
    <row r="15" spans="2:13" x14ac:dyDescent="0.3">
      <c r="C15" s="7"/>
      <c r="E15" t="str">
        <f>IFERROR(VLOOKUP(Tabela57[[#This Row],[Produto]],Cálculos!$J$5:$M$33,4,FALSE),"")</f>
        <v/>
      </c>
      <c r="G15" s="3">
        <f>IFERROR(VLOOKUP(Tabela57[[#This Row],[Produto]],Cálculos!$J$5:$M$33,3,FALSE),0)</f>
        <v>0</v>
      </c>
      <c r="H15" s="3">
        <f>Tabela57[[#This Row],[Quantidade]]*Tabela57[[#This Row],[Preço Unitário]]</f>
        <v>0</v>
      </c>
      <c r="K15" s="3">
        <f>IFERROR(VLOOKUP(Tabela57[[#This Row],[Entrega]],Cálculos!$B$5:$C$9,2,FALSE),0)</f>
        <v>0</v>
      </c>
      <c r="L15" s="3">
        <f>Tabela57[[#This Row],[Subtotal]]*(1-Tabela57[[#This Row],[Desconto]])+Tabela57[[#This Row],[Valor de Entrega]]</f>
        <v>0</v>
      </c>
      <c r="M15" s="3" t="str">
        <f>IF(Tabela57[[#This Row],[ID da Venda]]=B16,"",SUMIF(Tabela57[ID da Venda],Tabela57[[#This Row],[ID da Venda]],Tabela57[Total]))</f>
        <v/>
      </c>
    </row>
    <row r="17" spans="2:13" ht="21" x14ac:dyDescent="0.4">
      <c r="B17" s="20" t="s">
        <v>114</v>
      </c>
      <c r="C17" s="20"/>
      <c r="D17" s="20"/>
      <c r="E17" s="21"/>
      <c r="F17" s="21"/>
      <c r="G17" s="21"/>
      <c r="H17" s="21"/>
      <c r="I17" s="21"/>
      <c r="J17" s="21"/>
      <c r="K17" s="21"/>
      <c r="L17" s="21"/>
      <c r="M17" s="21">
        <f>SUM(Tabela57[Total])</f>
        <v>62.9</v>
      </c>
    </row>
    <row r="18" spans="2:13" ht="21" x14ac:dyDescent="0.4">
      <c r="B18" s="22" t="s">
        <v>115</v>
      </c>
      <c r="C18" s="22"/>
      <c r="D18" s="22"/>
      <c r="E18" s="23"/>
      <c r="F18" s="23"/>
      <c r="G18" s="23"/>
      <c r="H18" s="23"/>
      <c r="I18" s="23"/>
      <c r="J18" s="23"/>
      <c r="K18" s="23"/>
      <c r="L18" s="23"/>
      <c r="M18" s="23">
        <f>SUM(Tabela57[Valor de Entrega])</f>
        <v>8</v>
      </c>
    </row>
    <row r="19" spans="2:13" ht="21" x14ac:dyDescent="0.4">
      <c r="B19" s="22" t="s">
        <v>131</v>
      </c>
      <c r="C19" s="22"/>
      <c r="D19" s="22"/>
      <c r="E19" s="23"/>
      <c r="F19" s="23"/>
      <c r="G19" s="23"/>
      <c r="H19" s="23"/>
      <c r="I19" s="23"/>
      <c r="J19" s="23"/>
      <c r="K19" s="23"/>
      <c r="L19" s="23"/>
      <c r="M19" s="22">
        <f>SUM(IF(FREQUENCY(Tabela57[ID da Venda],Tabela57[ID da Venda])&gt;0,1,0))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3E21835-B73B-405F-94D2-DFA83D59E48D}">
          <x14:formula1>
            <xm:f>Cálculos!$J$5:$J$33</xm:f>
          </x14:formula1>
          <xm:sqref>D6:D14</xm:sqref>
        </x14:dataValidation>
        <x14:dataValidation type="list" allowBlank="1" showInputMessage="1" showErrorMessage="1" xr:uid="{D723A7CE-1C0C-498E-9CFE-A7CCDAB8A222}">
          <x14:formula1>
            <xm:f>Cálculos!$B$5:$B$9</xm:f>
          </x14:formula1>
          <xm:sqref>J8:J15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48986-94B8-4E37-AC00-E2ED3EDCCB6F}">
  <dimension ref="A3:I8"/>
  <sheetViews>
    <sheetView showGridLines="0" workbookViewId="0">
      <selection activeCell="H21" sqref="H21"/>
    </sheetView>
  </sheetViews>
  <sheetFormatPr defaultRowHeight="14.4" x14ac:dyDescent="0.3"/>
  <cols>
    <col min="1" max="1" width="17.21875" bestFit="1" customWidth="1"/>
    <col min="2" max="2" width="18.88671875" bestFit="1" customWidth="1"/>
    <col min="3" max="3" width="13.109375" bestFit="1" customWidth="1"/>
    <col min="6" max="6" width="17.21875" bestFit="1" customWidth="1"/>
    <col min="7" max="7" width="18.88671875" bestFit="1" customWidth="1"/>
    <col min="8" max="8" width="23" bestFit="1" customWidth="1"/>
    <col min="9" max="9" width="13.109375" bestFit="1" customWidth="1"/>
  </cols>
  <sheetData>
    <row r="3" spans="1:9" x14ac:dyDescent="0.3">
      <c r="A3" s="59" t="s">
        <v>148</v>
      </c>
      <c r="B3" t="s">
        <v>152</v>
      </c>
      <c r="C3" t="s">
        <v>150</v>
      </c>
      <c r="F3" s="59" t="s">
        <v>148</v>
      </c>
      <c r="G3" t="s">
        <v>152</v>
      </c>
      <c r="H3" t="s">
        <v>151</v>
      </c>
      <c r="I3" t="s">
        <v>150</v>
      </c>
    </row>
    <row r="4" spans="1:9" x14ac:dyDescent="0.3">
      <c r="A4" s="60">
        <v>42139</v>
      </c>
      <c r="B4">
        <v>1</v>
      </c>
      <c r="C4" s="3">
        <v>62.9</v>
      </c>
      <c r="F4" s="62" t="s">
        <v>111</v>
      </c>
      <c r="G4">
        <v>1</v>
      </c>
      <c r="H4" s="3">
        <v>8</v>
      </c>
      <c r="I4" s="3">
        <v>62.9</v>
      </c>
    </row>
    <row r="5" spans="1:9" x14ac:dyDescent="0.3">
      <c r="A5" s="61" t="s">
        <v>32</v>
      </c>
      <c r="B5">
        <v>1</v>
      </c>
      <c r="C5" s="3">
        <v>62.9</v>
      </c>
      <c r="F5" s="62" t="s">
        <v>153</v>
      </c>
      <c r="H5" s="3">
        <v>0</v>
      </c>
      <c r="I5" s="3">
        <v>0</v>
      </c>
    </row>
    <row r="6" spans="1:9" x14ac:dyDescent="0.3">
      <c r="A6" s="60" t="s">
        <v>153</v>
      </c>
      <c r="C6" s="3">
        <v>0</v>
      </c>
      <c r="F6" s="62" t="s">
        <v>149</v>
      </c>
      <c r="G6">
        <v>1</v>
      </c>
      <c r="H6" s="3">
        <v>8</v>
      </c>
      <c r="I6" s="3">
        <v>62.9</v>
      </c>
    </row>
    <row r="7" spans="1:9" x14ac:dyDescent="0.3">
      <c r="A7" s="61" t="s">
        <v>153</v>
      </c>
      <c r="C7" s="3">
        <v>0</v>
      </c>
    </row>
    <row r="8" spans="1:9" x14ac:dyDescent="0.3">
      <c r="A8" s="60" t="s">
        <v>149</v>
      </c>
      <c r="B8">
        <v>1</v>
      </c>
      <c r="C8" s="3">
        <v>62.9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3"/>
  <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2A9A3-4EB8-4E6A-843E-FC6155923B19}">
  <dimension ref="B2:M19"/>
  <sheetViews>
    <sheetView showGridLines="0" workbookViewId="0">
      <selection activeCell="M3" sqref="M3"/>
    </sheetView>
  </sheetViews>
  <sheetFormatPr defaultRowHeight="14.4" x14ac:dyDescent="0.3"/>
  <cols>
    <col min="1" max="1" width="23.109375" customWidth="1"/>
    <col min="2" max="2" width="26.109375" bestFit="1" customWidth="1"/>
    <col min="3" max="3" width="12.88671875" customWidth="1"/>
    <col min="4" max="4" width="12.33203125" customWidth="1"/>
    <col min="5" max="5" width="10.33203125" customWidth="1"/>
    <col min="6" max="6" width="14.77734375" customWidth="1"/>
    <col min="7" max="7" width="17.109375" customWidth="1"/>
    <col min="8" max="8" width="10.5546875" customWidth="1"/>
    <col min="9" max="9" width="11" customWidth="1"/>
    <col min="10" max="10" width="10.33203125" customWidth="1"/>
    <col min="11" max="12" width="17.33203125" customWidth="1"/>
    <col min="13" max="13" width="19.6640625" customWidth="1"/>
  </cols>
  <sheetData>
    <row r="2" spans="2:13" s="18" customFormat="1" ht="28.05" customHeight="1" x14ac:dyDescent="0.3">
      <c r="B2" s="17" t="s">
        <v>117</v>
      </c>
    </row>
    <row r="3" spans="2:13" ht="34.200000000000003" customHeight="1" x14ac:dyDescent="0.3"/>
    <row r="5" spans="2:13" x14ac:dyDescent="0.3">
      <c r="B5" t="s">
        <v>101</v>
      </c>
      <c r="C5" t="s">
        <v>42</v>
      </c>
      <c r="D5" t="s">
        <v>93</v>
      </c>
      <c r="E5" t="s">
        <v>56</v>
      </c>
      <c r="F5" t="s">
        <v>57</v>
      </c>
      <c r="G5" t="s">
        <v>58</v>
      </c>
      <c r="H5" t="s">
        <v>102</v>
      </c>
      <c r="I5" t="s">
        <v>59</v>
      </c>
      <c r="J5" t="s">
        <v>103</v>
      </c>
      <c r="K5" t="s">
        <v>104</v>
      </c>
      <c r="L5" t="s">
        <v>113</v>
      </c>
      <c r="M5" t="s">
        <v>105</v>
      </c>
    </row>
    <row r="6" spans="2:13" x14ac:dyDescent="0.3">
      <c r="C6" s="7"/>
      <c r="G6" s="3">
        <f>IFERROR(VLOOKUP(Tabela58[[#This Row],[Produto]],Cálculos!$J$5:$M$33,3,FALSE),0)</f>
        <v>0</v>
      </c>
      <c r="H6" s="3">
        <f>Tabela58[[#This Row],[Quantidade]]*Tabela58[[#This Row],[Preço Unitário]]</f>
        <v>0</v>
      </c>
      <c r="K6" s="3">
        <f>IFERROR(VLOOKUP(Tabela58[[#This Row],[Entrega]],Cálculos!$B$5:$C$9,2,FALSE),0)</f>
        <v>0</v>
      </c>
      <c r="L6" s="3">
        <f>Tabela58[[#This Row],[Subtotal]]*(1-Tabela58[[#This Row],[Desconto]])+Tabela58[[#This Row],[Valor de Entrega]]</f>
        <v>0</v>
      </c>
      <c r="M6" s="3" t="str">
        <f>IF(Tabela58[[#This Row],[ID da Venda]]=B7,"",SUMIF(Tabela58[ID da Venda],Tabela58[[#This Row],[ID da Venda]],Tabela58[Total]))</f>
        <v/>
      </c>
    </row>
    <row r="7" spans="2:13" x14ac:dyDescent="0.3">
      <c r="C7" s="7"/>
      <c r="G7" s="3">
        <f>IFERROR(VLOOKUP(Tabela58[[#This Row],[Produto]],Cálculos!$J$5:$M$33,3,FALSE),0)</f>
        <v>0</v>
      </c>
      <c r="H7" s="3">
        <f>Tabela58[[#This Row],[Quantidade]]*Tabela58[[#This Row],[Preço Unitário]]</f>
        <v>0</v>
      </c>
      <c r="I7" s="6"/>
      <c r="K7" s="3">
        <f>IFERROR(VLOOKUP(Tabela58[[#This Row],[Entrega]],Cálculos!$B$5:$C$9,2,FALSE),0)</f>
        <v>0</v>
      </c>
      <c r="L7" s="3">
        <f>Tabela58[[#This Row],[Subtotal]]*(1-Tabela58[[#This Row],[Desconto]])+Tabela58[[#This Row],[Valor de Entrega]]</f>
        <v>0</v>
      </c>
      <c r="M7" s="3" t="str">
        <f>IF(Tabela58[[#This Row],[ID da Venda]]=B8,"",SUMIF(Tabela58[ID da Venda],Tabela58[[#This Row],[ID da Venda]],Tabela58[Total]))</f>
        <v/>
      </c>
    </row>
    <row r="8" spans="2:13" x14ac:dyDescent="0.3">
      <c r="C8" s="7"/>
      <c r="G8" s="3">
        <f>IFERROR(VLOOKUP(Tabela58[[#This Row],[Produto]],Cálculos!$J$5:$M$33,3,FALSE),0)</f>
        <v>0</v>
      </c>
      <c r="H8" s="3">
        <f>Tabela58[[#This Row],[Quantidade]]*Tabela58[[#This Row],[Preço Unitário]]</f>
        <v>0</v>
      </c>
      <c r="I8" s="6"/>
      <c r="K8" s="3">
        <f>IFERROR(VLOOKUP(Tabela58[[#This Row],[Entrega]],Cálculos!$B$5:$C$9,2,FALSE),0)</f>
        <v>0</v>
      </c>
      <c r="L8" s="3">
        <f>Tabela58[[#This Row],[Subtotal]]*(1-Tabela58[[#This Row],[Desconto]])+Tabela58[[#This Row],[Valor de Entrega]]</f>
        <v>0</v>
      </c>
      <c r="M8" s="3" t="str">
        <f>IF(Tabela58[[#This Row],[ID da Venda]]=B9,"",SUMIF(Tabela58[ID da Venda],Tabela58[[#This Row],[ID da Venda]],Tabela58[Total]))</f>
        <v/>
      </c>
    </row>
    <row r="9" spans="2:13" x14ac:dyDescent="0.3">
      <c r="C9" s="7"/>
      <c r="E9" t="str">
        <f>IFERROR(VLOOKUP(Tabela58[[#This Row],[Produto]],Cálculos!$J$5:$M$33,4,FALSE),"")</f>
        <v/>
      </c>
      <c r="G9" s="3">
        <f>IFERROR(VLOOKUP(Tabela58[[#This Row],[Produto]],Cálculos!$J$5:$M$33,3,FALSE),0)</f>
        <v>0</v>
      </c>
      <c r="H9" s="3">
        <f>Tabela58[[#This Row],[Quantidade]]*Tabela58[[#This Row],[Preço Unitário]]</f>
        <v>0</v>
      </c>
      <c r="I9" s="6"/>
      <c r="K9" s="3">
        <f>IFERROR(VLOOKUP(Tabela58[[#This Row],[Entrega]],Cálculos!$B$5:$C$9,2,FALSE),0)</f>
        <v>0</v>
      </c>
      <c r="L9" s="3">
        <f>Tabela58[[#This Row],[Subtotal]]*(1-Tabela58[[#This Row],[Desconto]])+Tabela58[[#This Row],[Valor de Entrega]]</f>
        <v>0</v>
      </c>
      <c r="M9" s="3" t="str">
        <f>IF(Tabela58[[#This Row],[ID da Venda]]=B10,"",SUMIF(Tabela58[ID da Venda],Tabela58[[#This Row],[ID da Venda]],Tabela58[Total]))</f>
        <v/>
      </c>
    </row>
    <row r="10" spans="2:13" x14ac:dyDescent="0.3">
      <c r="C10" s="7"/>
      <c r="E10" t="str">
        <f>IFERROR(VLOOKUP(Tabela58[[#This Row],[Produto]],Cálculos!$J$5:$M$33,4,FALSE),"")</f>
        <v/>
      </c>
      <c r="G10" s="3">
        <f>IFERROR(VLOOKUP(Tabela58[[#This Row],[Produto]],Cálculos!$J$5:$M$33,3,FALSE),0)</f>
        <v>0</v>
      </c>
      <c r="H10" s="3">
        <f>Tabela58[[#This Row],[Quantidade]]*Tabela58[[#This Row],[Preço Unitário]]</f>
        <v>0</v>
      </c>
      <c r="I10" s="6"/>
      <c r="K10" s="3">
        <f>IFERROR(VLOOKUP(Tabela58[[#This Row],[Entrega]],Cálculos!$B$5:$C$9,2,FALSE),0)</f>
        <v>0</v>
      </c>
      <c r="L10" s="3">
        <f>Tabela58[[#This Row],[Subtotal]]*(1-Tabela58[[#This Row],[Desconto]])+Tabela58[[#This Row],[Valor de Entrega]]</f>
        <v>0</v>
      </c>
      <c r="M10" s="3" t="str">
        <f>IF(Tabela58[[#This Row],[ID da Venda]]=B11,"",SUMIF(Tabela58[ID da Venda],Tabela58[[#This Row],[ID da Venda]],Tabela58[Total]))</f>
        <v/>
      </c>
    </row>
    <row r="11" spans="2:13" x14ac:dyDescent="0.3">
      <c r="C11" s="7"/>
      <c r="E11" t="str">
        <f>IFERROR(VLOOKUP(Tabela58[[#This Row],[Produto]],Cálculos!$J$5:$M$33,4,FALSE),"")</f>
        <v/>
      </c>
      <c r="G11" s="3">
        <f>IFERROR(VLOOKUP(Tabela58[[#This Row],[Produto]],Cálculos!$J$5:$M$33,3,FALSE),0)</f>
        <v>0</v>
      </c>
      <c r="H11" s="3">
        <f>Tabela58[[#This Row],[Quantidade]]*Tabela58[[#This Row],[Preço Unitário]]</f>
        <v>0</v>
      </c>
      <c r="I11" s="6"/>
      <c r="K11" s="3">
        <f>IFERROR(VLOOKUP(Tabela58[[#This Row],[Entrega]],Cálculos!$B$5:$C$9,2,FALSE),0)</f>
        <v>0</v>
      </c>
      <c r="L11" s="3">
        <f>Tabela58[[#This Row],[Subtotal]]*(1-Tabela58[[#This Row],[Desconto]])+Tabela58[[#This Row],[Valor de Entrega]]</f>
        <v>0</v>
      </c>
      <c r="M11" s="3" t="str">
        <f>IF(Tabela58[[#This Row],[ID da Venda]]=B12,"",SUMIF(Tabela58[ID da Venda],Tabela58[[#This Row],[ID da Venda]],Tabela58[Total]))</f>
        <v/>
      </c>
    </row>
    <row r="12" spans="2:13" x14ac:dyDescent="0.3">
      <c r="C12" s="7"/>
      <c r="E12" t="str">
        <f>IFERROR(VLOOKUP(Tabela58[[#This Row],[Produto]],Cálculos!$J$5:$M$33,4,FALSE),"")</f>
        <v/>
      </c>
      <c r="G12" s="3">
        <f>IFERROR(VLOOKUP(Tabela58[[#This Row],[Produto]],Cálculos!$J$5:$M$33,3,FALSE),0)</f>
        <v>0</v>
      </c>
      <c r="H12" s="3">
        <f>Tabela58[[#This Row],[Quantidade]]*Tabela58[[#This Row],[Preço Unitário]]</f>
        <v>0</v>
      </c>
      <c r="I12" s="6"/>
      <c r="K12" s="3">
        <f>IFERROR(VLOOKUP(Tabela58[[#This Row],[Entrega]],Cálculos!$B$5:$C$9,2,FALSE),0)</f>
        <v>0</v>
      </c>
      <c r="L12" s="3">
        <f>Tabela58[[#This Row],[Subtotal]]*(1-Tabela58[[#This Row],[Desconto]])+Tabela58[[#This Row],[Valor de Entrega]]</f>
        <v>0</v>
      </c>
      <c r="M12" s="3" t="str">
        <f>IF(Tabela58[[#This Row],[ID da Venda]]=B13,"",SUMIF(Tabela58[ID da Venda],Tabela58[[#This Row],[ID da Venda]],Tabela58[Total]))</f>
        <v/>
      </c>
    </row>
    <row r="13" spans="2:13" x14ac:dyDescent="0.3">
      <c r="C13" s="7"/>
      <c r="E13" t="str">
        <f>IFERROR(VLOOKUP(Tabela58[[#This Row],[Produto]],Cálculos!$J$5:$M$33,4,FALSE),"")</f>
        <v/>
      </c>
      <c r="G13" s="3">
        <f>IFERROR(VLOOKUP(Tabela58[[#This Row],[Produto]],Cálculos!$J$5:$M$33,3,FALSE),0)</f>
        <v>0</v>
      </c>
      <c r="H13" s="3">
        <f>Tabela58[[#This Row],[Quantidade]]*Tabela58[[#This Row],[Preço Unitário]]</f>
        <v>0</v>
      </c>
      <c r="I13" s="6"/>
      <c r="K13" s="3">
        <f>IFERROR(VLOOKUP(Tabela58[[#This Row],[Entrega]],Cálculos!$B$5:$C$9,2,FALSE),0)</f>
        <v>0</v>
      </c>
      <c r="L13" s="3">
        <f>Tabela58[[#This Row],[Subtotal]]*(1-Tabela58[[#This Row],[Desconto]])+Tabela58[[#This Row],[Valor de Entrega]]</f>
        <v>0</v>
      </c>
      <c r="M13" s="3" t="str">
        <f>IF(Tabela58[[#This Row],[ID da Venda]]=B14,"",SUMIF(Tabela58[ID da Venda],Tabela58[[#This Row],[ID da Venda]],Tabela58[Total]))</f>
        <v/>
      </c>
    </row>
    <row r="14" spans="2:13" x14ac:dyDescent="0.3">
      <c r="C14" s="7"/>
      <c r="E14" t="str">
        <f>IFERROR(VLOOKUP(Tabela58[[#This Row],[Produto]],Cálculos!$J$5:$M$33,4,FALSE),"")</f>
        <v/>
      </c>
      <c r="G14" s="3">
        <f>IFERROR(VLOOKUP(Tabela58[[#This Row],[Produto]],Cálculos!$J$5:$M$33,3,FALSE),0)</f>
        <v>0</v>
      </c>
      <c r="H14" s="3">
        <f>Tabela58[[#This Row],[Quantidade]]*Tabela58[[#This Row],[Preço Unitário]]</f>
        <v>0</v>
      </c>
      <c r="I14" s="6"/>
      <c r="K14" s="3">
        <f>IFERROR(VLOOKUP(Tabela58[[#This Row],[Entrega]],Cálculos!$B$5:$C$9,2,FALSE),0)</f>
        <v>0</v>
      </c>
      <c r="L14" s="3">
        <f>Tabela58[[#This Row],[Subtotal]]*(1-Tabela58[[#This Row],[Desconto]])+Tabela58[[#This Row],[Valor de Entrega]]</f>
        <v>0</v>
      </c>
      <c r="M14" s="3" t="str">
        <f>IF(Tabela58[[#This Row],[ID da Venda]]=B15,"",SUMIF(Tabela58[ID da Venda],Tabela58[[#This Row],[ID da Venda]],Tabela58[Total]))</f>
        <v/>
      </c>
    </row>
    <row r="15" spans="2:13" x14ac:dyDescent="0.3">
      <c r="C15" s="7"/>
      <c r="E15" t="str">
        <f>IFERROR(VLOOKUP(Tabela58[[#This Row],[Produto]],Cálculos!$J$5:$M$33,4,FALSE),"")</f>
        <v/>
      </c>
      <c r="G15" s="3">
        <f>IFERROR(VLOOKUP(Tabela58[[#This Row],[Produto]],Cálculos!$J$5:$M$33,3,FALSE),0)</f>
        <v>0</v>
      </c>
      <c r="H15" s="3">
        <f>Tabela58[[#This Row],[Quantidade]]*Tabela58[[#This Row],[Preço Unitário]]</f>
        <v>0</v>
      </c>
      <c r="K15" s="3">
        <f>IFERROR(VLOOKUP(Tabela58[[#This Row],[Entrega]],Cálculos!$B$5:$C$9,2,FALSE),0)</f>
        <v>0</v>
      </c>
      <c r="L15" s="3">
        <f>Tabela58[[#This Row],[Subtotal]]*(1-Tabela58[[#This Row],[Desconto]])+Tabela58[[#This Row],[Valor de Entrega]]</f>
        <v>0</v>
      </c>
      <c r="M15" s="3" t="str">
        <f>IF(Tabela58[[#This Row],[ID da Venda]]=B16,"",SUMIF(Tabela58[ID da Venda],Tabela58[[#This Row],[ID da Venda]],Tabela58[Total]))</f>
        <v/>
      </c>
    </row>
    <row r="17" spans="2:13" ht="21" x14ac:dyDescent="0.4">
      <c r="B17" s="20" t="s">
        <v>114</v>
      </c>
      <c r="C17" s="20"/>
      <c r="D17" s="20"/>
      <c r="E17" s="21"/>
      <c r="F17" s="21"/>
      <c r="G17" s="21"/>
      <c r="H17" s="21"/>
      <c r="I17" s="21"/>
      <c r="J17" s="21"/>
      <c r="K17" s="21"/>
      <c r="L17" s="21"/>
      <c r="M17" s="21">
        <f>SUM(Tabela58[Total])</f>
        <v>0</v>
      </c>
    </row>
    <row r="18" spans="2:13" ht="21" x14ac:dyDescent="0.4">
      <c r="B18" s="22" t="s">
        <v>115</v>
      </c>
      <c r="C18" s="22"/>
      <c r="D18" s="22"/>
      <c r="E18" s="23"/>
      <c r="F18" s="23"/>
      <c r="G18" s="23"/>
      <c r="H18" s="23"/>
      <c r="I18" s="23"/>
      <c r="J18" s="23"/>
      <c r="K18" s="23"/>
      <c r="L18" s="23"/>
      <c r="M18" s="23">
        <f>SUM(Tabela58[Valor de Entrega])</f>
        <v>0</v>
      </c>
    </row>
    <row r="19" spans="2:13" ht="21" x14ac:dyDescent="0.4">
      <c r="B19" s="22" t="s">
        <v>131</v>
      </c>
      <c r="C19" s="22"/>
      <c r="D19" s="22"/>
      <c r="E19" s="23"/>
      <c r="F19" s="23"/>
      <c r="G19" s="23"/>
      <c r="H19" s="23"/>
      <c r="I19" s="23"/>
      <c r="J19" s="23"/>
      <c r="K19" s="23"/>
      <c r="L19" s="23"/>
      <c r="M19" s="22">
        <f>SUM(IF(FREQUENCY(Tabela58[ID da Venda],Tabela58[ID da Venda])&gt;0,1,0))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18F711A-5F06-455A-92B5-9950168F9EAC}">
          <x14:formula1>
            <xm:f>Cálculos!$J$5:$J$33</xm:f>
          </x14:formula1>
          <xm:sqref>D7:D14</xm:sqref>
        </x14:dataValidation>
        <x14:dataValidation type="list" allowBlank="1" showInputMessage="1" showErrorMessage="1" xr:uid="{ACF01486-A80E-4C64-95A6-D4A30606FA42}">
          <x14:formula1>
            <xm:f>Cálculos!$B$5:$B$9</xm:f>
          </x14:formula1>
          <xm:sqref>J8:J15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42337-048F-4AF6-9505-AB9D9AD30385}">
  <dimension ref="A3:I6"/>
  <sheetViews>
    <sheetView showGridLines="0" workbookViewId="0">
      <selection activeCell="H18" sqref="H18"/>
    </sheetView>
  </sheetViews>
  <sheetFormatPr defaultRowHeight="14.4" x14ac:dyDescent="0.3"/>
  <cols>
    <col min="1" max="1" width="17.21875" bestFit="1" customWidth="1"/>
    <col min="2" max="2" width="18.88671875" bestFit="1" customWidth="1"/>
    <col min="3" max="3" width="13.109375" bestFit="1" customWidth="1"/>
    <col min="6" max="6" width="17.21875" bestFit="1" customWidth="1"/>
    <col min="7" max="7" width="18.88671875" bestFit="1" customWidth="1"/>
    <col min="8" max="8" width="23" bestFit="1" customWidth="1"/>
    <col min="9" max="9" width="13.109375" bestFit="1" customWidth="1"/>
  </cols>
  <sheetData>
    <row r="3" spans="1:9" x14ac:dyDescent="0.3">
      <c r="A3" s="59" t="s">
        <v>148</v>
      </c>
      <c r="B3" t="s">
        <v>152</v>
      </c>
      <c r="C3" t="s">
        <v>150</v>
      </c>
      <c r="F3" s="59" t="s">
        <v>148</v>
      </c>
      <c r="G3" t="s">
        <v>152</v>
      </c>
      <c r="H3" t="s">
        <v>151</v>
      </c>
      <c r="I3" t="s">
        <v>150</v>
      </c>
    </row>
    <row r="4" spans="1:9" x14ac:dyDescent="0.3">
      <c r="A4" s="60" t="s">
        <v>153</v>
      </c>
      <c r="C4" s="3">
        <v>0</v>
      </c>
      <c r="F4" s="62" t="s">
        <v>153</v>
      </c>
      <c r="H4" s="3">
        <v>0</v>
      </c>
      <c r="I4" s="3">
        <v>0</v>
      </c>
    </row>
    <row r="5" spans="1:9" x14ac:dyDescent="0.3">
      <c r="A5" s="61" t="s">
        <v>153</v>
      </c>
      <c r="C5" s="3">
        <v>0</v>
      </c>
      <c r="F5" s="62" t="s">
        <v>149</v>
      </c>
      <c r="H5" s="3">
        <v>0</v>
      </c>
      <c r="I5" s="3">
        <v>0</v>
      </c>
    </row>
    <row r="6" spans="1:9" x14ac:dyDescent="0.3">
      <c r="A6" s="60" t="s">
        <v>149</v>
      </c>
      <c r="C6" s="3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3"/>
  <drawing r:id="rId4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26B3E-84D0-4262-ABB0-C6C1EDCEA0FF}">
  <dimension ref="B2:M19"/>
  <sheetViews>
    <sheetView showGridLines="0" workbookViewId="0">
      <selection activeCell="M3" sqref="M3"/>
    </sheetView>
  </sheetViews>
  <sheetFormatPr defaultRowHeight="14.4" x14ac:dyDescent="0.3"/>
  <cols>
    <col min="1" max="1" width="21.6640625" customWidth="1"/>
    <col min="2" max="2" width="26.109375" bestFit="1" customWidth="1"/>
    <col min="3" max="3" width="12.88671875" customWidth="1"/>
    <col min="4" max="4" width="12.33203125" customWidth="1"/>
    <col min="5" max="5" width="10.33203125" customWidth="1"/>
    <col min="6" max="6" width="14.77734375" customWidth="1"/>
    <col min="7" max="7" width="17.109375" customWidth="1"/>
    <col min="8" max="8" width="10.5546875" customWidth="1"/>
    <col min="9" max="9" width="11" customWidth="1"/>
    <col min="10" max="10" width="10.33203125" customWidth="1"/>
    <col min="11" max="12" width="17.33203125" customWidth="1"/>
    <col min="13" max="13" width="19.6640625" customWidth="1"/>
  </cols>
  <sheetData>
    <row r="2" spans="2:13" s="18" customFormat="1" ht="28.05" customHeight="1" x14ac:dyDescent="0.3">
      <c r="B2" s="17" t="s">
        <v>118</v>
      </c>
    </row>
    <row r="3" spans="2:13" ht="34.200000000000003" customHeight="1" x14ac:dyDescent="0.3"/>
    <row r="5" spans="2:13" x14ac:dyDescent="0.3">
      <c r="B5" t="s">
        <v>101</v>
      </c>
      <c r="C5" t="s">
        <v>42</v>
      </c>
      <c r="D5" t="s">
        <v>93</v>
      </c>
      <c r="E5" t="s">
        <v>56</v>
      </c>
      <c r="F5" t="s">
        <v>57</v>
      </c>
      <c r="G5" t="s">
        <v>58</v>
      </c>
      <c r="H5" t="s">
        <v>102</v>
      </c>
      <c r="I5" t="s">
        <v>59</v>
      </c>
      <c r="J5" t="s">
        <v>103</v>
      </c>
      <c r="K5" t="s">
        <v>104</v>
      </c>
      <c r="L5" t="s">
        <v>113</v>
      </c>
      <c r="M5" t="s">
        <v>105</v>
      </c>
    </row>
    <row r="6" spans="2:13" x14ac:dyDescent="0.3">
      <c r="C6" s="7"/>
      <c r="G6" s="3">
        <f>IFERROR(VLOOKUP(Tabela59[[#This Row],[Produto]],Cálculos!$J$5:$M$33,3,FALSE),0)</f>
        <v>0</v>
      </c>
      <c r="H6" s="3">
        <f>Tabela59[[#This Row],[Quantidade]]*Tabela59[[#This Row],[Preço Unitário]]</f>
        <v>0</v>
      </c>
      <c r="K6" s="3">
        <f>IFERROR(VLOOKUP(Tabela59[[#This Row],[Entrega]],Cálculos!$B$5:$C$9,2,FALSE),0)</f>
        <v>0</v>
      </c>
      <c r="L6" s="3">
        <f>Tabela59[[#This Row],[Subtotal]]*(1-Tabela59[[#This Row],[Desconto]])+Tabela59[[#This Row],[Valor de Entrega]]</f>
        <v>0</v>
      </c>
      <c r="M6" s="3" t="str">
        <f>IF(Tabela59[[#This Row],[ID da Venda]]=B7,"",SUMIF(Tabela59[ID da Venda],Tabela59[[#This Row],[ID da Venda]],Tabela59[Total]))</f>
        <v/>
      </c>
    </row>
    <row r="7" spans="2:13" x14ac:dyDescent="0.3">
      <c r="C7" s="7"/>
      <c r="G7" s="3">
        <f>IFERROR(VLOOKUP(Tabela59[[#This Row],[Produto]],Cálculos!$J$5:$M$33,3,FALSE),0)</f>
        <v>0</v>
      </c>
      <c r="H7" s="3">
        <f>Tabela59[[#This Row],[Quantidade]]*Tabela59[[#This Row],[Preço Unitário]]</f>
        <v>0</v>
      </c>
      <c r="I7" s="6"/>
      <c r="K7" s="3">
        <f>IFERROR(VLOOKUP(Tabela59[[#This Row],[Entrega]],Cálculos!$B$5:$C$9,2,FALSE),0)</f>
        <v>0</v>
      </c>
      <c r="L7" s="3">
        <f>Tabela59[[#This Row],[Subtotal]]*(1-Tabela59[[#This Row],[Desconto]])+Tabela59[[#This Row],[Valor de Entrega]]</f>
        <v>0</v>
      </c>
      <c r="M7" s="3" t="str">
        <f>IF(Tabela59[[#This Row],[ID da Venda]]=B8,"",SUMIF(Tabela59[ID da Venda],Tabela59[[#This Row],[ID da Venda]],Tabela59[Total]))</f>
        <v/>
      </c>
    </row>
    <row r="8" spans="2:13" x14ac:dyDescent="0.3">
      <c r="C8" s="7"/>
      <c r="G8" s="3">
        <f>IFERROR(VLOOKUP(Tabela59[[#This Row],[Produto]],Cálculos!$J$5:$M$33,3,FALSE),0)</f>
        <v>0</v>
      </c>
      <c r="H8" s="3">
        <f>Tabela59[[#This Row],[Quantidade]]*Tabela59[[#This Row],[Preço Unitário]]</f>
        <v>0</v>
      </c>
      <c r="I8" s="6"/>
      <c r="K8" s="3">
        <f>IFERROR(VLOOKUP(Tabela59[[#This Row],[Entrega]],Cálculos!$B$5:$C$9,2,FALSE),0)</f>
        <v>0</v>
      </c>
      <c r="L8" s="3">
        <f>Tabela59[[#This Row],[Subtotal]]*(1-Tabela59[[#This Row],[Desconto]])+Tabela59[[#This Row],[Valor de Entrega]]</f>
        <v>0</v>
      </c>
      <c r="M8" s="3" t="str">
        <f>IF(Tabela59[[#This Row],[ID da Venda]]=B9,"",SUMIF(Tabela59[ID da Venda],Tabela59[[#This Row],[ID da Venda]],Tabela59[Total]))</f>
        <v/>
      </c>
    </row>
    <row r="9" spans="2:13" x14ac:dyDescent="0.3">
      <c r="C9" s="7"/>
      <c r="E9" t="str">
        <f>IFERROR(VLOOKUP(Tabela59[[#This Row],[Produto]],Cálculos!$J$5:$M$33,4,FALSE),"")</f>
        <v/>
      </c>
      <c r="G9" s="3">
        <f>IFERROR(VLOOKUP(Tabela59[[#This Row],[Produto]],Cálculos!$J$5:$M$33,3,FALSE),0)</f>
        <v>0</v>
      </c>
      <c r="H9" s="3">
        <f>Tabela59[[#This Row],[Quantidade]]*Tabela59[[#This Row],[Preço Unitário]]</f>
        <v>0</v>
      </c>
      <c r="I9" s="6"/>
      <c r="K9" s="3">
        <f>IFERROR(VLOOKUP(Tabela59[[#This Row],[Entrega]],Cálculos!$B$5:$C$9,2,FALSE),0)</f>
        <v>0</v>
      </c>
      <c r="L9" s="3">
        <f>Tabela59[[#This Row],[Subtotal]]*(1-Tabela59[[#This Row],[Desconto]])+Tabela59[[#This Row],[Valor de Entrega]]</f>
        <v>0</v>
      </c>
      <c r="M9" s="3" t="str">
        <f>IF(Tabela59[[#This Row],[ID da Venda]]=B10,"",SUMIF(Tabela59[ID da Venda],Tabela59[[#This Row],[ID da Venda]],Tabela59[Total]))</f>
        <v/>
      </c>
    </row>
    <row r="10" spans="2:13" x14ac:dyDescent="0.3">
      <c r="C10" s="7"/>
      <c r="E10" t="str">
        <f>IFERROR(VLOOKUP(Tabela59[[#This Row],[Produto]],Cálculos!$J$5:$M$33,4,FALSE),"")</f>
        <v/>
      </c>
      <c r="G10" s="3">
        <f>IFERROR(VLOOKUP(Tabela59[[#This Row],[Produto]],Cálculos!$J$5:$M$33,3,FALSE),0)</f>
        <v>0</v>
      </c>
      <c r="H10" s="3">
        <f>Tabela59[[#This Row],[Quantidade]]*Tabela59[[#This Row],[Preço Unitário]]</f>
        <v>0</v>
      </c>
      <c r="I10" s="6"/>
      <c r="K10" s="3">
        <f>IFERROR(VLOOKUP(Tabela59[[#This Row],[Entrega]],Cálculos!$B$5:$C$9,2,FALSE),0)</f>
        <v>0</v>
      </c>
      <c r="L10" s="3">
        <f>Tabela59[[#This Row],[Subtotal]]*(1-Tabela59[[#This Row],[Desconto]])+Tabela59[[#This Row],[Valor de Entrega]]</f>
        <v>0</v>
      </c>
      <c r="M10" s="3" t="str">
        <f>IF(Tabela59[[#This Row],[ID da Venda]]=B11,"",SUMIF(Tabela59[ID da Venda],Tabela59[[#This Row],[ID da Venda]],Tabela59[Total]))</f>
        <v/>
      </c>
    </row>
    <row r="11" spans="2:13" x14ac:dyDescent="0.3">
      <c r="C11" s="7"/>
      <c r="E11" t="str">
        <f>IFERROR(VLOOKUP(Tabela59[[#This Row],[Produto]],Cálculos!$J$5:$M$33,4,FALSE),"")</f>
        <v/>
      </c>
      <c r="G11" s="3">
        <f>IFERROR(VLOOKUP(Tabela59[[#This Row],[Produto]],Cálculos!$J$5:$M$33,3,FALSE),0)</f>
        <v>0</v>
      </c>
      <c r="H11" s="3">
        <f>Tabela59[[#This Row],[Quantidade]]*Tabela59[[#This Row],[Preço Unitário]]</f>
        <v>0</v>
      </c>
      <c r="I11" s="6"/>
      <c r="K11" s="3">
        <f>IFERROR(VLOOKUP(Tabela59[[#This Row],[Entrega]],Cálculos!$B$5:$C$9,2,FALSE),0)</f>
        <v>0</v>
      </c>
      <c r="L11" s="3">
        <f>Tabela59[[#This Row],[Subtotal]]*(1-Tabela59[[#This Row],[Desconto]])+Tabela59[[#This Row],[Valor de Entrega]]</f>
        <v>0</v>
      </c>
      <c r="M11" s="3" t="str">
        <f>IF(Tabela59[[#This Row],[ID da Venda]]=B12,"",SUMIF(Tabela59[ID da Venda],Tabela59[[#This Row],[ID da Venda]],Tabela59[Total]))</f>
        <v/>
      </c>
    </row>
    <row r="12" spans="2:13" x14ac:dyDescent="0.3">
      <c r="C12" s="7"/>
      <c r="E12" t="str">
        <f>IFERROR(VLOOKUP(Tabela59[[#This Row],[Produto]],Cálculos!$J$5:$M$33,4,FALSE),"")</f>
        <v/>
      </c>
      <c r="G12" s="3">
        <f>IFERROR(VLOOKUP(Tabela59[[#This Row],[Produto]],Cálculos!$J$5:$M$33,3,FALSE),0)</f>
        <v>0</v>
      </c>
      <c r="H12" s="3">
        <f>Tabela59[[#This Row],[Quantidade]]*Tabela59[[#This Row],[Preço Unitário]]</f>
        <v>0</v>
      </c>
      <c r="I12" s="6"/>
      <c r="K12" s="3">
        <f>IFERROR(VLOOKUP(Tabela59[[#This Row],[Entrega]],Cálculos!$B$5:$C$9,2,FALSE),0)</f>
        <v>0</v>
      </c>
      <c r="L12" s="3">
        <f>Tabela59[[#This Row],[Subtotal]]*(1-Tabela59[[#This Row],[Desconto]])+Tabela59[[#This Row],[Valor de Entrega]]</f>
        <v>0</v>
      </c>
      <c r="M12" s="3" t="str">
        <f>IF(Tabela59[[#This Row],[ID da Venda]]=B13,"",SUMIF(Tabela59[ID da Venda],Tabela59[[#This Row],[ID da Venda]],Tabela59[Total]))</f>
        <v/>
      </c>
    </row>
    <row r="13" spans="2:13" x14ac:dyDescent="0.3">
      <c r="C13" s="7"/>
      <c r="E13" t="str">
        <f>IFERROR(VLOOKUP(Tabela59[[#This Row],[Produto]],Cálculos!$J$5:$M$33,4,FALSE),"")</f>
        <v/>
      </c>
      <c r="G13" s="3">
        <f>IFERROR(VLOOKUP(Tabela59[[#This Row],[Produto]],Cálculos!$J$5:$M$33,3,FALSE),0)</f>
        <v>0</v>
      </c>
      <c r="H13" s="3">
        <f>Tabela59[[#This Row],[Quantidade]]*Tabela59[[#This Row],[Preço Unitário]]</f>
        <v>0</v>
      </c>
      <c r="I13" s="6"/>
      <c r="K13" s="3">
        <f>IFERROR(VLOOKUP(Tabela59[[#This Row],[Entrega]],Cálculos!$B$5:$C$9,2,FALSE),0)</f>
        <v>0</v>
      </c>
      <c r="L13" s="3">
        <f>Tabela59[[#This Row],[Subtotal]]*(1-Tabela59[[#This Row],[Desconto]])+Tabela59[[#This Row],[Valor de Entrega]]</f>
        <v>0</v>
      </c>
      <c r="M13" s="3" t="str">
        <f>IF(Tabela59[[#This Row],[ID da Venda]]=B14,"",SUMIF(Tabela59[ID da Venda],Tabela59[[#This Row],[ID da Venda]],Tabela59[Total]))</f>
        <v/>
      </c>
    </row>
    <row r="14" spans="2:13" x14ac:dyDescent="0.3">
      <c r="C14" s="7"/>
      <c r="E14" t="str">
        <f>IFERROR(VLOOKUP(Tabela59[[#This Row],[Produto]],Cálculos!$J$5:$M$33,4,FALSE),"")</f>
        <v/>
      </c>
      <c r="G14" s="3">
        <f>IFERROR(VLOOKUP(Tabela59[[#This Row],[Produto]],Cálculos!$J$5:$M$33,3,FALSE),0)</f>
        <v>0</v>
      </c>
      <c r="H14" s="3">
        <f>Tabela59[[#This Row],[Quantidade]]*Tabela59[[#This Row],[Preço Unitário]]</f>
        <v>0</v>
      </c>
      <c r="I14" s="6"/>
      <c r="K14" s="3">
        <f>IFERROR(VLOOKUP(Tabela59[[#This Row],[Entrega]],Cálculos!$B$5:$C$9,2,FALSE),0)</f>
        <v>0</v>
      </c>
      <c r="L14" s="3">
        <f>Tabela59[[#This Row],[Subtotal]]*(1-Tabela59[[#This Row],[Desconto]])+Tabela59[[#This Row],[Valor de Entrega]]</f>
        <v>0</v>
      </c>
      <c r="M14" s="3" t="str">
        <f>IF(Tabela59[[#This Row],[ID da Venda]]=B15,"",SUMIF(Tabela59[ID da Venda],Tabela59[[#This Row],[ID da Venda]],Tabela59[Total]))</f>
        <v/>
      </c>
    </row>
    <row r="15" spans="2:13" x14ac:dyDescent="0.3">
      <c r="C15" s="7"/>
      <c r="E15" t="str">
        <f>IFERROR(VLOOKUP(Tabela59[[#This Row],[Produto]],Cálculos!$J$5:$M$33,4,FALSE),"")</f>
        <v/>
      </c>
      <c r="G15" s="3">
        <f>IFERROR(VLOOKUP(Tabela59[[#This Row],[Produto]],Cálculos!$J$5:$M$33,3,FALSE),0)</f>
        <v>0</v>
      </c>
      <c r="H15" s="3">
        <f>Tabela59[[#This Row],[Quantidade]]*Tabela59[[#This Row],[Preço Unitário]]</f>
        <v>0</v>
      </c>
      <c r="K15" s="3">
        <f>IFERROR(VLOOKUP(Tabela59[[#This Row],[Entrega]],Cálculos!$B$5:$C$9,2,FALSE),0)</f>
        <v>0</v>
      </c>
      <c r="L15" s="3">
        <f>Tabela59[[#This Row],[Subtotal]]*(1-Tabela59[[#This Row],[Desconto]])+Tabela59[[#This Row],[Valor de Entrega]]</f>
        <v>0</v>
      </c>
      <c r="M15" s="3" t="str">
        <f>IF(Tabela59[[#This Row],[ID da Venda]]=B16,"",SUMIF(Tabela59[ID da Venda],Tabela59[[#This Row],[ID da Venda]],Tabela59[Total]))</f>
        <v/>
      </c>
    </row>
    <row r="17" spans="2:13" ht="21" x14ac:dyDescent="0.4">
      <c r="B17" s="20" t="s">
        <v>114</v>
      </c>
      <c r="C17" s="20"/>
      <c r="D17" s="20"/>
      <c r="E17" s="21"/>
      <c r="F17" s="21"/>
      <c r="G17" s="21"/>
      <c r="H17" s="21"/>
      <c r="I17" s="21"/>
      <c r="J17" s="21"/>
      <c r="K17" s="21"/>
      <c r="L17" s="21"/>
      <c r="M17" s="21">
        <f>SUM(Tabela59[Total])</f>
        <v>0</v>
      </c>
    </row>
    <row r="18" spans="2:13" ht="21" x14ac:dyDescent="0.4">
      <c r="B18" s="22" t="s">
        <v>115</v>
      </c>
      <c r="C18" s="22"/>
      <c r="D18" s="22"/>
      <c r="E18" s="23"/>
      <c r="F18" s="23"/>
      <c r="G18" s="23"/>
      <c r="H18" s="23"/>
      <c r="I18" s="23"/>
      <c r="J18" s="23"/>
      <c r="K18" s="23"/>
      <c r="L18" s="23"/>
      <c r="M18" s="23">
        <f>SUM(Tabela59[Valor de Entrega])</f>
        <v>0</v>
      </c>
    </row>
    <row r="19" spans="2:13" ht="21" x14ac:dyDescent="0.4">
      <c r="B19" s="22" t="s">
        <v>131</v>
      </c>
      <c r="C19" s="22"/>
      <c r="D19" s="22"/>
      <c r="E19" s="23"/>
      <c r="F19" s="23"/>
      <c r="G19" s="23"/>
      <c r="H19" s="23"/>
      <c r="I19" s="23"/>
      <c r="J19" s="23"/>
      <c r="K19" s="23"/>
      <c r="L19" s="23"/>
      <c r="M19" s="22">
        <f>SUM(IF(FREQUENCY(Tabela59[ID da Venda],Tabela59[ID da Venda])&gt;0,1,0))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18F503-6042-442D-9CDD-5D3DD4BCDC7E}">
          <x14:formula1>
            <xm:f>Cálculos!$J$5:$J$33</xm:f>
          </x14:formula1>
          <xm:sqref>D7:D14</xm:sqref>
        </x14:dataValidation>
        <x14:dataValidation type="list" allowBlank="1" showInputMessage="1" showErrorMessage="1" xr:uid="{9EC5974B-2124-4F36-ACBD-ABD40C72CFBD}">
          <x14:formula1>
            <xm:f>Cálculos!$B$5:$B$9</xm:f>
          </x14:formula1>
          <xm:sqref>J8:J15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0894F-2660-4790-B614-29BEF12E7887}">
  <dimension ref="A3:I6"/>
  <sheetViews>
    <sheetView showGridLines="0" workbookViewId="0">
      <selection activeCell="I15" sqref="I15"/>
    </sheetView>
  </sheetViews>
  <sheetFormatPr defaultRowHeight="14.4" x14ac:dyDescent="0.3"/>
  <cols>
    <col min="1" max="1" width="17.21875" bestFit="1" customWidth="1"/>
    <col min="2" max="2" width="18.88671875" bestFit="1" customWidth="1"/>
    <col min="3" max="3" width="13.109375" bestFit="1" customWidth="1"/>
    <col min="6" max="6" width="17.21875" bestFit="1" customWidth="1"/>
    <col min="7" max="7" width="18.88671875" bestFit="1" customWidth="1"/>
    <col min="8" max="8" width="23" bestFit="1" customWidth="1"/>
    <col min="9" max="9" width="13.109375" bestFit="1" customWidth="1"/>
  </cols>
  <sheetData>
    <row r="3" spans="1:9" x14ac:dyDescent="0.3">
      <c r="A3" s="59" t="s">
        <v>148</v>
      </c>
      <c r="B3" t="s">
        <v>152</v>
      </c>
      <c r="C3" t="s">
        <v>150</v>
      </c>
      <c r="F3" s="59" t="s">
        <v>148</v>
      </c>
      <c r="G3" t="s">
        <v>152</v>
      </c>
      <c r="H3" t="s">
        <v>151</v>
      </c>
      <c r="I3" t="s">
        <v>150</v>
      </c>
    </row>
    <row r="4" spans="1:9" x14ac:dyDescent="0.3">
      <c r="A4" s="60" t="s">
        <v>153</v>
      </c>
      <c r="C4" s="3">
        <v>0</v>
      </c>
      <c r="F4" s="62" t="s">
        <v>153</v>
      </c>
      <c r="H4" s="3">
        <v>0</v>
      </c>
      <c r="I4" s="3">
        <v>0</v>
      </c>
    </row>
    <row r="5" spans="1:9" x14ac:dyDescent="0.3">
      <c r="A5" s="61" t="s">
        <v>153</v>
      </c>
      <c r="C5" s="3">
        <v>0</v>
      </c>
      <c r="F5" s="62" t="s">
        <v>149</v>
      </c>
      <c r="H5" s="3">
        <v>0</v>
      </c>
      <c r="I5" s="3">
        <v>0</v>
      </c>
    </row>
    <row r="6" spans="1:9" x14ac:dyDescent="0.3">
      <c r="A6" s="60" t="s">
        <v>149</v>
      </c>
      <c r="C6" s="3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3"/>
  <drawing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4C5E7-0162-4F74-BE89-6BF96B4A91AD}">
  <dimension ref="B2:M18"/>
  <sheetViews>
    <sheetView showGridLines="0" workbookViewId="0">
      <selection activeCell="D27" sqref="D27"/>
    </sheetView>
  </sheetViews>
  <sheetFormatPr defaultRowHeight="14.4" x14ac:dyDescent="0.3"/>
  <cols>
    <col min="1" max="1" width="20.33203125" customWidth="1"/>
    <col min="2" max="2" width="26.109375" bestFit="1" customWidth="1"/>
    <col min="3" max="3" width="12.88671875" customWidth="1"/>
    <col min="4" max="4" width="12.33203125" customWidth="1"/>
    <col min="5" max="5" width="10.33203125" customWidth="1"/>
    <col min="6" max="6" width="14.77734375" customWidth="1"/>
    <col min="7" max="7" width="17.109375" customWidth="1"/>
    <col min="8" max="8" width="10.5546875" customWidth="1"/>
    <col min="9" max="9" width="11" customWidth="1"/>
    <col min="10" max="10" width="10.33203125" customWidth="1"/>
    <col min="11" max="12" width="17.33203125" customWidth="1"/>
    <col min="13" max="13" width="19.6640625" customWidth="1"/>
  </cols>
  <sheetData>
    <row r="2" spans="2:13" s="18" customFormat="1" ht="28.05" customHeight="1" x14ac:dyDescent="0.3">
      <c r="B2" s="17" t="s">
        <v>119</v>
      </c>
    </row>
    <row r="3" spans="2:13" ht="34.200000000000003" customHeight="1" x14ac:dyDescent="0.3"/>
    <row r="5" spans="2:13" x14ac:dyDescent="0.3">
      <c r="B5" t="s">
        <v>101</v>
      </c>
      <c r="C5" t="s">
        <v>42</v>
      </c>
      <c r="D5" t="s">
        <v>93</v>
      </c>
      <c r="E5" t="s">
        <v>56</v>
      </c>
      <c r="F5" t="s">
        <v>57</v>
      </c>
      <c r="G5" t="s">
        <v>58</v>
      </c>
      <c r="H5" t="s">
        <v>102</v>
      </c>
      <c r="I5" t="s">
        <v>59</v>
      </c>
      <c r="J5" t="s">
        <v>103</v>
      </c>
      <c r="K5" t="s">
        <v>104</v>
      </c>
      <c r="L5" t="s">
        <v>113</v>
      </c>
      <c r="M5" t="s">
        <v>105</v>
      </c>
    </row>
    <row r="6" spans="2:13" x14ac:dyDescent="0.3">
      <c r="C6" s="7">
        <f t="shared" ref="C6:C14" ca="1" si="0">TODAY()</f>
        <v>46186</v>
      </c>
      <c r="E6" t="str">
        <f>IFERROR(VLOOKUP(Tabela510[[#This Row],[Produto]],Cálculos!$J$5:$M$33,4,FALSE),"")</f>
        <v/>
      </c>
      <c r="G6" s="3">
        <f>IFERROR(VLOOKUP(Tabela510[[#This Row],[Produto]],Cálculos!$J$5:$M$33,3,FALSE),0)</f>
        <v>0</v>
      </c>
      <c r="H6" s="3">
        <f>Tabela510[[#This Row],[Quantidade]]*Tabela510[[#This Row],[Preço Unitário]]</f>
        <v>0</v>
      </c>
      <c r="K6" s="3">
        <f>IFERROR(VLOOKUP(Tabela510[[#This Row],[Entrega]],Cálculos!$B$5:$C$9,2,FALSE),0)</f>
        <v>0</v>
      </c>
      <c r="L6" s="3">
        <f>Tabela510[[#This Row],[Subtotal]]*(1-Tabela510[[#This Row],[Desconto]])+Tabela510[[#This Row],[Valor de Entrega]]</f>
        <v>0</v>
      </c>
      <c r="M6" s="3" t="str">
        <f>IF(Tabela510[[#This Row],[ID da Venda]]=B7,"",SUMIF(Tabela510[ID da Venda],Tabela510[[#This Row],[ID da Venda]],Tabela510[Total]))</f>
        <v/>
      </c>
    </row>
    <row r="7" spans="2:13" x14ac:dyDescent="0.3">
      <c r="C7" s="7">
        <f t="shared" ca="1" si="0"/>
        <v>46186</v>
      </c>
      <c r="G7" s="3">
        <f>IFERROR(VLOOKUP(Tabela510[[#This Row],[Produto]],Cálculos!$J$5:$M$33,3,FALSE),0)</f>
        <v>0</v>
      </c>
      <c r="H7" s="3">
        <f>Tabela510[[#This Row],[Quantidade]]*Tabela510[[#This Row],[Preço Unitário]]</f>
        <v>0</v>
      </c>
      <c r="I7" s="6"/>
      <c r="K7" s="3">
        <f>IFERROR(VLOOKUP(Tabela510[[#This Row],[Entrega]],Cálculos!$B$5:$C$9,2,FALSE),0)</f>
        <v>0</v>
      </c>
      <c r="L7" s="3">
        <f>Tabela510[[#This Row],[Subtotal]]*(1-Tabela510[[#This Row],[Desconto]])+Tabela510[[#This Row],[Valor de Entrega]]</f>
        <v>0</v>
      </c>
      <c r="M7" s="3" t="str">
        <f>IF(Tabela510[[#This Row],[ID da Venda]]=B8,"",SUMIF(Tabela510[ID da Venda],Tabela510[[#This Row],[ID da Venda]],Tabela510[Total]))</f>
        <v/>
      </c>
    </row>
    <row r="8" spans="2:13" x14ac:dyDescent="0.3">
      <c r="C8" s="7">
        <f t="shared" ca="1" si="0"/>
        <v>46186</v>
      </c>
      <c r="E8" t="str">
        <f>IFERROR(VLOOKUP(Tabela510[[#This Row],[Produto]],Cálculos!$J$5:$M$33,4,FALSE),"")</f>
        <v/>
      </c>
      <c r="G8" s="3">
        <f>IFERROR(VLOOKUP(Tabela510[[#This Row],[Produto]],Cálculos!$J$5:$M$33,3,FALSE),0)</f>
        <v>0</v>
      </c>
      <c r="H8" s="3">
        <f>Tabela510[[#This Row],[Quantidade]]*Tabela510[[#This Row],[Preço Unitário]]</f>
        <v>0</v>
      </c>
      <c r="I8" s="6"/>
      <c r="K8" s="3">
        <f>IFERROR(VLOOKUP(Tabela510[[#This Row],[Entrega]],Cálculos!$B$5:$C$9,2,FALSE),0)</f>
        <v>0</v>
      </c>
      <c r="L8" s="3">
        <f>Tabela510[[#This Row],[Subtotal]]*(1-Tabela510[[#This Row],[Desconto]])+Tabela510[[#This Row],[Valor de Entrega]]</f>
        <v>0</v>
      </c>
      <c r="M8" s="3" t="str">
        <f>IF(Tabela510[[#This Row],[ID da Venda]]=B9,"",SUMIF(Tabela510[ID da Venda],Tabela510[[#This Row],[ID da Venda]],Tabela510[Total]))</f>
        <v/>
      </c>
    </row>
    <row r="9" spans="2:13" x14ac:dyDescent="0.3">
      <c r="C9" s="7">
        <f t="shared" ca="1" si="0"/>
        <v>46186</v>
      </c>
      <c r="E9" t="str">
        <f>IFERROR(VLOOKUP(Tabela510[[#This Row],[Produto]],Cálculos!$J$5:$M$33,4,FALSE),"")</f>
        <v/>
      </c>
      <c r="G9" s="3">
        <f>IFERROR(VLOOKUP(Tabela510[[#This Row],[Produto]],Cálculos!$J$5:$M$33,3,FALSE),0)</f>
        <v>0</v>
      </c>
      <c r="H9" s="3">
        <f>Tabela510[[#This Row],[Quantidade]]*Tabela510[[#This Row],[Preço Unitário]]</f>
        <v>0</v>
      </c>
      <c r="I9" s="6"/>
      <c r="K9" s="3">
        <f>IFERROR(VLOOKUP(Tabela510[[#This Row],[Entrega]],Cálculos!$B$5:$C$9,2,FALSE),0)</f>
        <v>0</v>
      </c>
      <c r="L9" s="3">
        <f>Tabela510[[#This Row],[Subtotal]]*(1-Tabela510[[#This Row],[Desconto]])+Tabela510[[#This Row],[Valor de Entrega]]</f>
        <v>0</v>
      </c>
      <c r="M9" s="3" t="str">
        <f>IF(Tabela510[[#This Row],[ID da Venda]]=B10,"",SUMIF(Tabela510[ID da Venda],Tabela510[[#This Row],[ID da Venda]],Tabela510[Total]))</f>
        <v/>
      </c>
    </row>
    <row r="10" spans="2:13" x14ac:dyDescent="0.3">
      <c r="C10" s="7">
        <f t="shared" ca="1" si="0"/>
        <v>46186</v>
      </c>
      <c r="E10" t="str">
        <f>IFERROR(VLOOKUP(Tabela510[[#This Row],[Produto]],Cálculos!$J$5:$M$33,4,FALSE),"")</f>
        <v/>
      </c>
      <c r="G10" s="3">
        <f>IFERROR(VLOOKUP(Tabela510[[#This Row],[Produto]],Cálculos!$J$5:$M$33,3,FALSE),0)</f>
        <v>0</v>
      </c>
      <c r="H10" s="3">
        <f>Tabela510[[#This Row],[Quantidade]]*Tabela510[[#This Row],[Preço Unitário]]</f>
        <v>0</v>
      </c>
      <c r="I10" s="6"/>
      <c r="K10" s="3">
        <f>IFERROR(VLOOKUP(Tabela510[[#This Row],[Entrega]],Cálculos!$B$5:$C$9,2,FALSE),0)</f>
        <v>0</v>
      </c>
      <c r="L10" s="3">
        <f>Tabela510[[#This Row],[Subtotal]]*(1-Tabela510[[#This Row],[Desconto]])+Tabela510[[#This Row],[Valor de Entrega]]</f>
        <v>0</v>
      </c>
      <c r="M10" s="3" t="str">
        <f>IF(Tabela510[[#This Row],[ID da Venda]]=B11,"",SUMIF(Tabela510[ID da Venda],Tabela510[[#This Row],[ID da Venda]],Tabela510[Total]))</f>
        <v/>
      </c>
    </row>
    <row r="11" spans="2:13" x14ac:dyDescent="0.3">
      <c r="C11" s="7">
        <f t="shared" ca="1" si="0"/>
        <v>46186</v>
      </c>
      <c r="E11" t="str">
        <f>IFERROR(VLOOKUP(Tabela510[[#This Row],[Produto]],Cálculos!$J$5:$M$33,4,FALSE),"")</f>
        <v/>
      </c>
      <c r="G11" s="3">
        <f>IFERROR(VLOOKUP(Tabela510[[#This Row],[Produto]],Cálculos!$J$5:$M$33,3,FALSE),0)</f>
        <v>0</v>
      </c>
      <c r="H11" s="3">
        <f>Tabela510[[#This Row],[Quantidade]]*Tabela510[[#This Row],[Preço Unitário]]</f>
        <v>0</v>
      </c>
      <c r="I11" s="6"/>
      <c r="K11" s="3">
        <f>IFERROR(VLOOKUP(Tabela510[[#This Row],[Entrega]],Cálculos!$B$5:$C$9,2,FALSE),0)</f>
        <v>0</v>
      </c>
      <c r="L11" s="3">
        <f>Tabela510[[#This Row],[Subtotal]]*(1-Tabela510[[#This Row],[Desconto]])+Tabela510[[#This Row],[Valor de Entrega]]</f>
        <v>0</v>
      </c>
      <c r="M11" s="3" t="str">
        <f>IF(Tabela510[[#This Row],[ID da Venda]]=B12,"",SUMIF(Tabela510[ID da Venda],Tabela510[[#This Row],[ID da Venda]],Tabela510[Total]))</f>
        <v/>
      </c>
    </row>
    <row r="12" spans="2:13" x14ac:dyDescent="0.3">
      <c r="C12" s="7">
        <f t="shared" ca="1" si="0"/>
        <v>46186</v>
      </c>
      <c r="E12" t="str">
        <f>IFERROR(VLOOKUP(Tabela510[[#This Row],[Produto]],Cálculos!$J$5:$M$33,4,FALSE),"")</f>
        <v/>
      </c>
      <c r="G12" s="3">
        <f>IFERROR(VLOOKUP(Tabela510[[#This Row],[Produto]],Cálculos!$J$5:$M$33,3,FALSE),0)</f>
        <v>0</v>
      </c>
      <c r="H12" s="3">
        <f>Tabela510[[#This Row],[Quantidade]]*Tabela510[[#This Row],[Preço Unitário]]</f>
        <v>0</v>
      </c>
      <c r="I12" s="6"/>
      <c r="K12" s="3">
        <f>IFERROR(VLOOKUP(Tabela510[[#This Row],[Entrega]],Cálculos!$B$5:$C$9,2,FALSE),0)</f>
        <v>0</v>
      </c>
      <c r="L12" s="3">
        <f>Tabela510[[#This Row],[Subtotal]]*(1-Tabela510[[#This Row],[Desconto]])+Tabela510[[#This Row],[Valor de Entrega]]</f>
        <v>0</v>
      </c>
      <c r="M12" s="3" t="str">
        <f>IF(Tabela510[[#This Row],[ID da Venda]]=B13,"",SUMIF(Tabela510[ID da Venda],Tabela510[[#This Row],[ID da Venda]],Tabela510[Total]))</f>
        <v/>
      </c>
    </row>
    <row r="13" spans="2:13" x14ac:dyDescent="0.3">
      <c r="C13" s="7">
        <f t="shared" ca="1" si="0"/>
        <v>46186</v>
      </c>
      <c r="E13" t="str">
        <f>IFERROR(VLOOKUP(Tabela510[[#This Row],[Produto]],Cálculos!$J$5:$M$33,4,FALSE),"")</f>
        <v/>
      </c>
      <c r="G13" s="3">
        <f>IFERROR(VLOOKUP(Tabela510[[#This Row],[Produto]],Cálculos!$J$5:$M$33,3,FALSE),0)</f>
        <v>0</v>
      </c>
      <c r="H13" s="3">
        <f>Tabela510[[#This Row],[Quantidade]]*Tabela510[[#This Row],[Preço Unitário]]</f>
        <v>0</v>
      </c>
      <c r="I13" s="6"/>
      <c r="K13" s="3">
        <f>IFERROR(VLOOKUP(Tabela510[[#This Row],[Entrega]],Cálculos!$B$5:$C$9,2,FALSE),0)</f>
        <v>0</v>
      </c>
      <c r="L13" s="3">
        <f>Tabela510[[#This Row],[Subtotal]]*(1-Tabela510[[#This Row],[Desconto]])+Tabela510[[#This Row],[Valor de Entrega]]</f>
        <v>0</v>
      </c>
      <c r="M13" s="3" t="str">
        <f>IF(Tabela510[[#This Row],[ID da Venda]]=B14,"",SUMIF(Tabela510[ID da Venda],Tabela510[[#This Row],[ID da Venda]],Tabela510[Total]))</f>
        <v/>
      </c>
    </row>
    <row r="14" spans="2:13" x14ac:dyDescent="0.3">
      <c r="C14" s="7">
        <f t="shared" ca="1" si="0"/>
        <v>46186</v>
      </c>
      <c r="E14" t="str">
        <f>IFERROR(VLOOKUP(Tabela510[[#This Row],[Produto]],Cálculos!$J$5:$M$33,4,FALSE),"")</f>
        <v/>
      </c>
      <c r="G14" s="3">
        <f>IFERROR(VLOOKUP(Tabela510[[#This Row],[Produto]],Cálculos!$J$5:$M$33,3,FALSE),0)</f>
        <v>0</v>
      </c>
      <c r="H14" s="3">
        <f>Tabela510[[#This Row],[Quantidade]]*Tabela510[[#This Row],[Preço Unitário]]</f>
        <v>0</v>
      </c>
      <c r="K14" s="3">
        <f>IFERROR(VLOOKUP(Tabela510[[#This Row],[Entrega]],Cálculos!$B$5:$C$9,2,FALSE),0)</f>
        <v>0</v>
      </c>
      <c r="L14" s="3">
        <f>Tabela510[[#This Row],[Subtotal]]*(1-Tabela510[[#This Row],[Desconto]])+Tabela510[[#This Row],[Valor de Entrega]]</f>
        <v>0</v>
      </c>
      <c r="M14" s="3" t="str">
        <f>IF(Tabela510[[#This Row],[ID da Venda]]=B15,"",SUMIF(Tabela510[ID da Venda],Tabela510[[#This Row],[ID da Venda]],Tabela510[Total]))</f>
        <v/>
      </c>
    </row>
    <row r="16" spans="2:13" ht="21" x14ac:dyDescent="0.4">
      <c r="B16" s="20" t="s">
        <v>114</v>
      </c>
      <c r="C16" s="20"/>
      <c r="D16" s="20"/>
      <c r="E16" s="21"/>
      <c r="F16" s="21"/>
      <c r="G16" s="21"/>
      <c r="H16" s="21"/>
      <c r="I16" s="21"/>
      <c r="J16" s="21"/>
      <c r="K16" s="21"/>
      <c r="L16" s="21"/>
      <c r="M16" s="21">
        <f>SUM(Tabela510[Total])</f>
        <v>0</v>
      </c>
    </row>
    <row r="17" spans="2:13" ht="21" x14ac:dyDescent="0.4">
      <c r="B17" s="22" t="s">
        <v>115</v>
      </c>
      <c r="C17" s="22"/>
      <c r="D17" s="22"/>
      <c r="E17" s="23"/>
      <c r="F17" s="23"/>
      <c r="G17" s="23"/>
      <c r="H17" s="23"/>
      <c r="I17" s="23"/>
      <c r="J17" s="23"/>
      <c r="K17" s="23"/>
      <c r="L17" s="23"/>
      <c r="M17" s="23">
        <f>SUM(Tabela510[Valor de Entrega])</f>
        <v>0</v>
      </c>
    </row>
    <row r="18" spans="2:13" ht="21" x14ac:dyDescent="0.4">
      <c r="B18" s="22" t="s">
        <v>131</v>
      </c>
      <c r="C18" s="22"/>
      <c r="D18" s="22"/>
      <c r="E18" s="23"/>
      <c r="F18" s="23"/>
      <c r="G18" s="23"/>
      <c r="H18" s="23"/>
      <c r="I18" s="23"/>
      <c r="J18" s="23"/>
      <c r="K18" s="23"/>
      <c r="L18" s="23"/>
      <c r="M18" s="22">
        <f>SUM(IF(FREQUENCY(Tabela510[ID da Venda],Tabela510[ID da Venda])&gt;0,1,0))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23739F-76B5-4AC3-BC5D-2D731231CF47}">
          <x14:formula1>
            <xm:f>Cálculos!$B$5:$B$9</xm:f>
          </x14:formula1>
          <xm:sqref>J6:J14</xm:sqref>
        </x14:dataValidation>
        <x14:dataValidation type="list" allowBlank="1" showInputMessage="1" showErrorMessage="1" xr:uid="{899E4C7D-EDF5-4734-A411-5E19CC46CF07}">
          <x14:formula1>
            <xm:f>Cálculos!$J$5:$J$33</xm:f>
          </x14:formula1>
          <xm:sqref>D7:D13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7A98A-A039-4A36-98FD-BB74C913C9DF}">
  <dimension ref="A3:I6"/>
  <sheetViews>
    <sheetView showGridLines="0" workbookViewId="0"/>
  </sheetViews>
  <sheetFormatPr defaultRowHeight="14.4" x14ac:dyDescent="0.3"/>
  <cols>
    <col min="1" max="1" width="17.21875" bestFit="1" customWidth="1"/>
    <col min="2" max="2" width="18.88671875" bestFit="1" customWidth="1"/>
    <col min="3" max="3" width="13.109375" bestFit="1" customWidth="1"/>
    <col min="6" max="6" width="17.21875" bestFit="1" customWidth="1"/>
    <col min="7" max="7" width="18.88671875" bestFit="1" customWidth="1"/>
    <col min="8" max="8" width="23" bestFit="1" customWidth="1"/>
    <col min="9" max="9" width="13.109375" bestFit="1" customWidth="1"/>
  </cols>
  <sheetData>
    <row r="3" spans="1:9" x14ac:dyDescent="0.3">
      <c r="A3" s="59" t="s">
        <v>148</v>
      </c>
      <c r="B3" t="s">
        <v>152</v>
      </c>
      <c r="C3" t="s">
        <v>150</v>
      </c>
      <c r="F3" s="59" t="s">
        <v>148</v>
      </c>
      <c r="G3" t="s">
        <v>152</v>
      </c>
      <c r="H3" t="s">
        <v>151</v>
      </c>
      <c r="I3" t="s">
        <v>150</v>
      </c>
    </row>
    <row r="4" spans="1:9" x14ac:dyDescent="0.3">
      <c r="A4" s="60">
        <v>46080</v>
      </c>
      <c r="C4" s="3">
        <v>0</v>
      </c>
      <c r="F4" s="62" t="s">
        <v>153</v>
      </c>
      <c r="H4" s="3">
        <v>0</v>
      </c>
      <c r="I4" s="3">
        <v>0</v>
      </c>
    </row>
    <row r="5" spans="1:9" x14ac:dyDescent="0.3">
      <c r="A5" s="61" t="s">
        <v>153</v>
      </c>
      <c r="C5" s="3">
        <v>0</v>
      </c>
      <c r="F5" s="62" t="s">
        <v>149</v>
      </c>
      <c r="H5" s="3">
        <v>0</v>
      </c>
      <c r="I5" s="3">
        <v>0</v>
      </c>
    </row>
    <row r="6" spans="1:9" x14ac:dyDescent="0.3">
      <c r="A6" s="60" t="s">
        <v>149</v>
      </c>
      <c r="C6" s="3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3"/>
  <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4:M33"/>
  <sheetViews>
    <sheetView showGridLines="0" workbookViewId="0">
      <selection activeCell="G7" sqref="G7"/>
    </sheetView>
  </sheetViews>
  <sheetFormatPr defaultRowHeight="14.4" x14ac:dyDescent="0.3"/>
  <cols>
    <col min="2" max="2" width="17" bestFit="1" customWidth="1"/>
    <col min="3" max="3" width="14.88671875" bestFit="1" customWidth="1"/>
    <col min="10" max="10" width="14.77734375" bestFit="1" customWidth="1"/>
    <col min="11" max="11" width="25.21875" bestFit="1" customWidth="1"/>
    <col min="12" max="12" width="24" bestFit="1" customWidth="1"/>
    <col min="13" max="13" width="9.6640625" bestFit="1" customWidth="1"/>
  </cols>
  <sheetData>
    <row r="4" spans="2:13" x14ac:dyDescent="0.3">
      <c r="B4" s="8" t="s">
        <v>107</v>
      </c>
      <c r="C4" s="8" t="s">
        <v>106</v>
      </c>
      <c r="J4" s="8" t="s">
        <v>61</v>
      </c>
      <c r="K4" s="8" t="s">
        <v>62</v>
      </c>
      <c r="L4" s="8" t="s">
        <v>63</v>
      </c>
      <c r="M4" s="8" t="s">
        <v>56</v>
      </c>
    </row>
    <row r="5" spans="2:13" x14ac:dyDescent="0.3">
      <c r="B5" t="s">
        <v>108</v>
      </c>
      <c r="C5" s="9">
        <v>5</v>
      </c>
      <c r="J5" t="s">
        <v>21</v>
      </c>
      <c r="K5" s="9">
        <v>2.8405</v>
      </c>
      <c r="L5" s="9">
        <v>2.99</v>
      </c>
      <c r="M5" t="s">
        <v>64</v>
      </c>
    </row>
    <row r="6" spans="2:13" x14ac:dyDescent="0.3">
      <c r="B6" t="s">
        <v>109</v>
      </c>
      <c r="C6" s="9">
        <v>0</v>
      </c>
      <c r="J6" t="s">
        <v>30</v>
      </c>
      <c r="K6" s="9">
        <v>1.0580000000000001</v>
      </c>
      <c r="L6" s="9">
        <v>1.1499999999999999</v>
      </c>
      <c r="M6" t="s">
        <v>65</v>
      </c>
    </row>
    <row r="7" spans="2:13" x14ac:dyDescent="0.3">
      <c r="B7" t="s">
        <v>110</v>
      </c>
      <c r="C7" s="9">
        <v>6.5</v>
      </c>
      <c r="J7" t="s">
        <v>18</v>
      </c>
      <c r="K7" s="9">
        <v>2.3406000000000002</v>
      </c>
      <c r="L7" s="9">
        <v>2.4900000000000002</v>
      </c>
      <c r="M7" t="s">
        <v>66</v>
      </c>
    </row>
    <row r="8" spans="2:13" x14ac:dyDescent="0.3">
      <c r="B8" t="s">
        <v>111</v>
      </c>
      <c r="C8" s="9">
        <v>8</v>
      </c>
      <c r="J8" t="s">
        <v>35</v>
      </c>
      <c r="K8" s="9">
        <v>1.8506999999999998</v>
      </c>
      <c r="L8" s="9">
        <v>1.99</v>
      </c>
      <c r="M8" t="s">
        <v>65</v>
      </c>
    </row>
    <row r="9" spans="2:13" x14ac:dyDescent="0.3">
      <c r="B9" t="s">
        <v>112</v>
      </c>
      <c r="C9" s="9">
        <v>6.5</v>
      </c>
      <c r="J9" t="s">
        <v>38</v>
      </c>
      <c r="K9" s="9">
        <v>1.0924999999999998</v>
      </c>
      <c r="L9" s="9">
        <v>1.1499999999999999</v>
      </c>
      <c r="M9" t="s">
        <v>65</v>
      </c>
    </row>
    <row r="10" spans="2:13" x14ac:dyDescent="0.3">
      <c r="J10" t="s">
        <v>34</v>
      </c>
      <c r="K10" s="9">
        <v>0.74260000000000004</v>
      </c>
      <c r="L10" s="9">
        <v>0.79</v>
      </c>
      <c r="M10" t="s">
        <v>65</v>
      </c>
    </row>
    <row r="11" spans="2:13" x14ac:dyDescent="0.3">
      <c r="J11" t="s">
        <v>22</v>
      </c>
      <c r="K11" s="9">
        <v>14.469000000000001</v>
      </c>
      <c r="L11" s="9">
        <v>15.9</v>
      </c>
      <c r="M11" t="s">
        <v>66</v>
      </c>
    </row>
    <row r="12" spans="2:13" x14ac:dyDescent="0.3">
      <c r="J12" t="s">
        <v>28</v>
      </c>
      <c r="K12" s="9">
        <v>3.6309000000000005</v>
      </c>
      <c r="L12" s="9">
        <v>3.99</v>
      </c>
      <c r="M12" t="s">
        <v>66</v>
      </c>
    </row>
    <row r="13" spans="2:13" x14ac:dyDescent="0.3">
      <c r="J13" t="s">
        <v>31</v>
      </c>
      <c r="K13" s="9">
        <v>2.1023999999999998</v>
      </c>
      <c r="L13" s="9">
        <v>2.19</v>
      </c>
      <c r="M13" t="s">
        <v>69</v>
      </c>
    </row>
    <row r="14" spans="2:13" x14ac:dyDescent="0.3">
      <c r="J14" t="s">
        <v>36</v>
      </c>
      <c r="K14" s="9">
        <v>4.5409000000000006</v>
      </c>
      <c r="L14" s="9">
        <v>4.99</v>
      </c>
      <c r="M14" t="s">
        <v>70</v>
      </c>
    </row>
    <row r="15" spans="2:13" x14ac:dyDescent="0.3">
      <c r="J15" t="s">
        <v>37</v>
      </c>
      <c r="K15" s="9">
        <v>6.3449999999999998</v>
      </c>
      <c r="L15" s="9">
        <v>6.75</v>
      </c>
      <c r="M15" t="s">
        <v>71</v>
      </c>
    </row>
    <row r="16" spans="2:13" x14ac:dyDescent="0.3">
      <c r="J16" t="s">
        <v>33</v>
      </c>
      <c r="K16" s="9">
        <v>2.3660000000000001</v>
      </c>
      <c r="L16" s="9">
        <v>2.6</v>
      </c>
      <c r="M16" t="s">
        <v>64</v>
      </c>
    </row>
    <row r="17" spans="10:13" x14ac:dyDescent="0.3">
      <c r="J17" t="s">
        <v>19</v>
      </c>
      <c r="K17" s="9">
        <v>4.0659999999999998</v>
      </c>
      <c r="L17" s="9">
        <v>4.28</v>
      </c>
      <c r="M17" t="s">
        <v>66</v>
      </c>
    </row>
    <row r="18" spans="10:13" x14ac:dyDescent="0.3">
      <c r="J18" t="s">
        <v>23</v>
      </c>
      <c r="K18" s="9">
        <v>6.4215999999999998</v>
      </c>
      <c r="L18" s="9">
        <v>6.98</v>
      </c>
      <c r="M18" t="s">
        <v>66</v>
      </c>
    </row>
    <row r="19" spans="10:13" x14ac:dyDescent="0.3">
      <c r="J19" t="s">
        <v>67</v>
      </c>
      <c r="K19" s="9">
        <v>1.3708</v>
      </c>
      <c r="L19" s="9">
        <v>1.49</v>
      </c>
      <c r="M19" t="s">
        <v>68</v>
      </c>
    </row>
    <row r="20" spans="10:13" x14ac:dyDescent="0.3">
      <c r="J20" t="s">
        <v>72</v>
      </c>
      <c r="K20" s="9">
        <v>2.6299000000000001</v>
      </c>
      <c r="L20" s="9">
        <v>2.89</v>
      </c>
      <c r="M20" t="s">
        <v>64</v>
      </c>
    </row>
    <row r="21" spans="10:13" x14ac:dyDescent="0.3">
      <c r="J21" t="s">
        <v>24</v>
      </c>
      <c r="K21" s="9">
        <v>22.226999999999997</v>
      </c>
      <c r="L21" s="9">
        <v>23.9</v>
      </c>
      <c r="M21" t="s">
        <v>66</v>
      </c>
    </row>
    <row r="22" spans="10:13" x14ac:dyDescent="0.3">
      <c r="J22" t="s">
        <v>25</v>
      </c>
      <c r="K22" s="9">
        <v>23.827999999999999</v>
      </c>
      <c r="L22" s="9">
        <v>25.9</v>
      </c>
      <c r="M22" t="s">
        <v>66</v>
      </c>
    </row>
    <row r="23" spans="10:13" x14ac:dyDescent="0.3">
      <c r="J23" t="s">
        <v>73</v>
      </c>
      <c r="K23" s="9">
        <v>2.1749000000000001</v>
      </c>
      <c r="L23" s="9">
        <v>2.39</v>
      </c>
      <c r="M23" t="s">
        <v>68</v>
      </c>
    </row>
    <row r="24" spans="10:13" x14ac:dyDescent="0.3">
      <c r="J24" t="s">
        <v>27</v>
      </c>
      <c r="K24" s="9">
        <v>3.2084999999999999</v>
      </c>
      <c r="L24" s="9">
        <v>3.45</v>
      </c>
      <c r="M24" t="s">
        <v>68</v>
      </c>
    </row>
    <row r="25" spans="10:13" x14ac:dyDescent="0.3">
      <c r="J25" t="s">
        <v>20</v>
      </c>
      <c r="K25" s="9">
        <v>5.3544000000000009</v>
      </c>
      <c r="L25" s="9">
        <v>5.82</v>
      </c>
      <c r="M25" t="s">
        <v>66</v>
      </c>
    </row>
    <row r="26" spans="10:13" x14ac:dyDescent="0.3">
      <c r="J26" t="s">
        <v>29</v>
      </c>
      <c r="K26" s="9">
        <v>9.1009999999999991</v>
      </c>
      <c r="L26" s="9">
        <v>9.58</v>
      </c>
      <c r="M26" t="s">
        <v>66</v>
      </c>
    </row>
    <row r="27" spans="10:13" x14ac:dyDescent="0.3">
      <c r="J27" t="s">
        <v>26</v>
      </c>
      <c r="K27" s="9">
        <v>26.012999999999998</v>
      </c>
      <c r="L27" s="9">
        <v>29.9</v>
      </c>
      <c r="M27" t="s">
        <v>74</v>
      </c>
    </row>
    <row r="28" spans="10:13" x14ac:dyDescent="0.3">
      <c r="J28" t="s">
        <v>32</v>
      </c>
      <c r="K28" s="9">
        <v>46.664999999999999</v>
      </c>
      <c r="L28" s="9">
        <v>54.9</v>
      </c>
      <c r="M28" t="s">
        <v>74</v>
      </c>
    </row>
    <row r="33" spans="10:13" ht="15" thickBot="1" x14ac:dyDescent="0.35">
      <c r="J33" s="19"/>
      <c r="K33" s="19"/>
      <c r="L33" s="19"/>
      <c r="M33" s="19"/>
    </row>
  </sheetData>
  <autoFilter ref="J4:M4" xr:uid="{00000000-0001-0000-0700-000000000000}">
    <sortState xmlns:xlrd2="http://schemas.microsoft.com/office/spreadsheetml/2017/richdata2" ref="J5:M28">
      <sortCondition ref="J4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1</vt:i4>
      </vt:variant>
    </vt:vector>
  </HeadingPairs>
  <TitlesOfParts>
    <vt:vector size="19" baseType="lpstr">
      <vt:lpstr>Menu</vt:lpstr>
      <vt:lpstr>Despesas</vt:lpstr>
      <vt:lpstr>Controle Mercadorias</vt:lpstr>
      <vt:lpstr>Investimentos</vt:lpstr>
      <vt:lpstr>Controle de Estoque</vt:lpstr>
      <vt:lpstr>Resultados</vt:lpstr>
      <vt:lpstr>Vendas</vt:lpstr>
      <vt:lpstr>Semana 1</vt:lpstr>
      <vt:lpstr>Análise Semana 1</vt:lpstr>
      <vt:lpstr>Semana 2</vt:lpstr>
      <vt:lpstr>Análise Semana 2</vt:lpstr>
      <vt:lpstr>Semana 3</vt:lpstr>
      <vt:lpstr>Análise Semana 3</vt:lpstr>
      <vt:lpstr>Semana 4</vt:lpstr>
      <vt:lpstr>Análise Semana 4</vt:lpstr>
      <vt:lpstr>Semana 5</vt:lpstr>
      <vt:lpstr>Análise Semana 5</vt:lpstr>
      <vt:lpstr>Cálculos</vt:lpstr>
      <vt:lpstr>Resultados!Area_de_impressao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Vaio</cp:lastModifiedBy>
  <cp:lastPrinted>2026-02-22T18:53:42Z</cp:lastPrinted>
  <dcterms:created xsi:type="dcterms:W3CDTF">2015-06-24T19:21:22Z</dcterms:created>
  <dcterms:modified xsi:type="dcterms:W3CDTF">2026-06-13T11:51:40Z</dcterms:modified>
</cp:coreProperties>
</file>